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cion DD" sheetId="1" r:id="rId5"/>
    <sheet state="visible" name="Prueba de Medias" sheetId="2" r:id="rId6"/>
    <sheet state="visible" name="Prueba de Varianza" sheetId="3" r:id="rId7"/>
    <sheet state="visible" name="Prueba Chi-Cuadrada" sheetId="4" r:id="rId8"/>
    <sheet state="visible" name="Pruebas Corridas AyA" sheetId="5" r:id="rId9"/>
  </sheets>
  <definedNames/>
  <calcPr/>
</workbook>
</file>

<file path=xl/sharedStrings.xml><?xml version="1.0" encoding="utf-8"?>
<sst xmlns="http://schemas.openxmlformats.org/spreadsheetml/2006/main" count="193" uniqueCount="184">
  <si>
    <t>Generación de Números Pseudoaleatorios para DEMANDA</t>
  </si>
  <si>
    <t>se generaron 100 numero pseudoaleatorios
semilla: 2026
multiplicador: 5324</t>
  </si>
  <si>
    <t>a=</t>
  </si>
  <si>
    <t>X0 =</t>
  </si>
  <si>
    <t>Numero pseudoaleatorios</t>
  </si>
  <si>
    <t>Valores simulados</t>
  </si>
  <si>
    <t>Y0 = (X0)*a =</t>
  </si>
  <si>
    <t>X1 =</t>
  </si>
  <si>
    <t xml:space="preserve">R1 = </t>
  </si>
  <si>
    <t>Primeros 20 numeros pseudoaleatorios DD</t>
  </si>
  <si>
    <t>Y1 = (X1)*a =</t>
  </si>
  <si>
    <t>X2 =</t>
  </si>
  <si>
    <t>R2 =</t>
  </si>
  <si>
    <t>Y2 = (X2)*a =</t>
  </si>
  <si>
    <t>X3 =</t>
  </si>
  <si>
    <t>R3 =</t>
  </si>
  <si>
    <t>R4 =</t>
  </si>
  <si>
    <t>R5 =</t>
  </si>
  <si>
    <t>R6 =</t>
  </si>
  <si>
    <t>R7 =</t>
  </si>
  <si>
    <t>R8 =</t>
  </si>
  <si>
    <t>R9 =</t>
  </si>
  <si>
    <t>R10 =</t>
  </si>
  <si>
    <t>R11 =</t>
  </si>
  <si>
    <t>R12 =</t>
  </si>
  <si>
    <t>A partir de aca verificamos los numeros, que sean realmente pseudo aleatorio</t>
  </si>
  <si>
    <t>R13 =</t>
  </si>
  <si>
    <t>1ero: Prueba de medias</t>
  </si>
  <si>
    <t>R14 =</t>
  </si>
  <si>
    <t>2do Prueba de varianza</t>
  </si>
  <si>
    <t>R15 =</t>
  </si>
  <si>
    <t>3ero Prueba de Chi-Cuadrada</t>
  </si>
  <si>
    <t>R16 =</t>
  </si>
  <si>
    <t>4to Prueba Corridas Arriba y Abajo</t>
  </si>
  <si>
    <t>R17 =</t>
  </si>
  <si>
    <t>R18 =</t>
  </si>
  <si>
    <t>R19 =</t>
  </si>
  <si>
    <t>R20 =</t>
  </si>
  <si>
    <t>R21 =</t>
  </si>
  <si>
    <t>R22 =</t>
  </si>
  <si>
    <t xml:space="preserve">R23 = </t>
  </si>
  <si>
    <t>R24 =</t>
  </si>
  <si>
    <t>R25 =</t>
  </si>
  <si>
    <t>R26 =</t>
  </si>
  <si>
    <t>R27 =</t>
  </si>
  <si>
    <t>R28 =</t>
  </si>
  <si>
    <t>R29 =</t>
  </si>
  <si>
    <t>R30 =</t>
  </si>
  <si>
    <t>R31=</t>
  </si>
  <si>
    <t>R32=</t>
  </si>
  <si>
    <t>R33=</t>
  </si>
  <si>
    <t>R34=</t>
  </si>
  <si>
    <t>R35=</t>
  </si>
  <si>
    <t>R36=</t>
  </si>
  <si>
    <t>R37=</t>
  </si>
  <si>
    <t>R38=</t>
  </si>
  <si>
    <t>R39=</t>
  </si>
  <si>
    <t>R40=</t>
  </si>
  <si>
    <t>R41=</t>
  </si>
  <si>
    <t>R42=</t>
  </si>
  <si>
    <t>R43=</t>
  </si>
  <si>
    <t>R44=</t>
  </si>
  <si>
    <t>R45=</t>
  </si>
  <si>
    <t>R46=</t>
  </si>
  <si>
    <t>R47=</t>
  </si>
  <si>
    <t>R48=</t>
  </si>
  <si>
    <t>R49=</t>
  </si>
  <si>
    <t>R50=</t>
  </si>
  <si>
    <t>R51=</t>
  </si>
  <si>
    <t>R52=</t>
  </si>
  <si>
    <t>R53=</t>
  </si>
  <si>
    <t>R54=</t>
  </si>
  <si>
    <t>R55=</t>
  </si>
  <si>
    <t>R56=</t>
  </si>
  <si>
    <t>R57=</t>
  </si>
  <si>
    <t>R58=</t>
  </si>
  <si>
    <t>R59=</t>
  </si>
  <si>
    <t>R60=</t>
  </si>
  <si>
    <t>R61=</t>
  </si>
  <si>
    <t>R62=</t>
  </si>
  <si>
    <t>R63 =</t>
  </si>
  <si>
    <t>R64 =</t>
  </si>
  <si>
    <t>R65 =</t>
  </si>
  <si>
    <t>R66 =</t>
  </si>
  <si>
    <t>R67 =</t>
  </si>
  <si>
    <t>R68 =</t>
  </si>
  <si>
    <t>R69 =</t>
  </si>
  <si>
    <t>R70 =</t>
  </si>
  <si>
    <t>R71 =</t>
  </si>
  <si>
    <t>R72 =</t>
  </si>
  <si>
    <t>R73 =</t>
  </si>
  <si>
    <t>R74 =</t>
  </si>
  <si>
    <t>R75 =</t>
  </si>
  <si>
    <t>R76 =</t>
  </si>
  <si>
    <t>R77 =</t>
  </si>
  <si>
    <t>R78 =</t>
  </si>
  <si>
    <t>R79 =</t>
  </si>
  <si>
    <t>R80 =</t>
  </si>
  <si>
    <t>R81 =</t>
  </si>
  <si>
    <t>R82 =</t>
  </si>
  <si>
    <t>R83 =</t>
  </si>
  <si>
    <t>R84 =</t>
  </si>
  <si>
    <t>R85 =</t>
  </si>
  <si>
    <t>R86 =</t>
  </si>
  <si>
    <t>R87 =</t>
  </si>
  <si>
    <t>R88 =</t>
  </si>
  <si>
    <t>R89 =</t>
  </si>
  <si>
    <t>R90 =</t>
  </si>
  <si>
    <t>R91 =</t>
  </si>
  <si>
    <t>R92 =</t>
  </si>
  <si>
    <t>R93 =</t>
  </si>
  <si>
    <t>R94 =</t>
  </si>
  <si>
    <t>R95 =</t>
  </si>
  <si>
    <t>R96 =</t>
  </si>
  <si>
    <t>R97 =</t>
  </si>
  <si>
    <t>R98 =</t>
  </si>
  <si>
    <t>R99 =</t>
  </si>
  <si>
    <t>R100 =</t>
  </si>
  <si>
    <t xml:space="preserve"> </t>
  </si>
  <si>
    <t>Nivel de Significación</t>
  </si>
  <si>
    <t>Tamaño de Muestra</t>
  </si>
  <si>
    <t>n  =</t>
  </si>
  <si>
    <r>
      <rPr>
        <rFont val="Symbol"/>
        <b/>
        <color theme="1"/>
        <sz val="11.0"/>
      </rPr>
      <t>a</t>
    </r>
    <r>
      <rPr>
        <rFont val="Calibri"/>
        <b/>
        <color theme="1"/>
        <sz val="11.0"/>
      </rPr>
      <t xml:space="preserve"> =</t>
    </r>
  </si>
  <si>
    <t>nivel de aceptación = 95%</t>
  </si>
  <si>
    <t>Media</t>
  </si>
  <si>
    <t>r  =</t>
  </si>
  <si>
    <r>
      <rPr>
        <rFont val="Symbol"/>
        <b/>
        <color theme="1"/>
        <sz val="11.0"/>
      </rPr>
      <t>a</t>
    </r>
    <r>
      <rPr>
        <rFont val="Calibri"/>
        <b/>
        <color theme="1"/>
        <sz val="11.0"/>
      </rPr>
      <t>/2 =</t>
    </r>
  </si>
  <si>
    <t>Z Critico</t>
  </si>
  <si>
    <r>
      <rPr>
        <rFont val="Calibri"/>
        <b/>
        <color theme="1"/>
        <sz val="11.0"/>
      </rPr>
      <t xml:space="preserve">Z </t>
    </r>
    <r>
      <rPr>
        <rFont val="Arial"/>
        <b/>
        <color theme="1"/>
        <sz val="5.0"/>
      </rPr>
      <t>a</t>
    </r>
    <r>
      <rPr>
        <rFont val="Calibri"/>
        <b/>
        <color theme="1"/>
        <sz val="5.0"/>
      </rPr>
      <t xml:space="preserve">/2 </t>
    </r>
    <r>
      <rPr>
        <rFont val="Calibri"/>
        <b/>
        <color theme="1"/>
        <sz val="11.0"/>
      </rPr>
      <t>=</t>
    </r>
  </si>
  <si>
    <r>
      <rPr>
        <rFont val="Calibri"/>
        <b/>
        <color theme="1"/>
        <sz val="11.0"/>
      </rPr>
      <t>1-(</t>
    </r>
    <r>
      <rPr>
        <rFont val="Symbol"/>
        <b/>
        <color theme="1"/>
        <sz val="11.0"/>
      </rPr>
      <t>a</t>
    </r>
    <r>
      <rPr>
        <rFont val="Calibri"/>
        <b/>
        <color theme="1"/>
        <sz val="11.0"/>
      </rPr>
      <t>/2) =</t>
    </r>
  </si>
  <si>
    <t>Busco 0,975 en el cuerpo de la tabla de distribución Normal estándar.</t>
  </si>
  <si>
    <t>LI r prom=</t>
  </si>
  <si>
    <t>LS r prom=</t>
  </si>
  <si>
    <t>Limites de Aceptación</t>
  </si>
  <si>
    <t>≤</t>
  </si>
  <si>
    <t>Como el valor del promedio 0,549 se encuentra entre los límites de aceptación, se concluye que no se puede rechazar que el conjunto de 100 números ri tiene un valor esperado de 0,5 con un nivel de aceptación de 95 %.</t>
  </si>
  <si>
    <t>Prueba de Varianza</t>
  </si>
  <si>
    <t>ri</t>
  </si>
  <si>
    <t>ri-r prom</t>
  </si>
  <si>
    <t>(ri-r prom)2</t>
  </si>
  <si>
    <t>V(r) =</t>
  </si>
  <si>
    <t>n - 1 =</t>
  </si>
  <si>
    <r>
      <rPr>
        <rFont val="Symbol"/>
        <b/>
        <color theme="1"/>
        <sz val="11.0"/>
      </rPr>
      <t>a</t>
    </r>
    <r>
      <rPr>
        <rFont val="Calibri"/>
        <b/>
        <color theme="1"/>
        <sz val="11.0"/>
      </rPr>
      <t>/2 =</t>
    </r>
  </si>
  <si>
    <r>
      <rPr>
        <rFont val="Calibri"/>
        <color theme="1"/>
      </rPr>
      <t>1-(</t>
    </r>
    <r>
      <rPr>
        <rFont val="Symbol"/>
        <color theme="1"/>
        <sz val="11.0"/>
      </rPr>
      <t>a</t>
    </r>
    <r>
      <rPr>
        <rFont val="Calibri"/>
        <color theme="1"/>
        <sz val="11.0"/>
      </rPr>
      <t>/2) =</t>
    </r>
  </si>
  <si>
    <r>
      <rPr>
        <rFont val="Arial"/>
        <b/>
        <color theme="1"/>
        <sz val="11.0"/>
      </rPr>
      <t>a</t>
    </r>
    <r>
      <rPr>
        <rFont val="Calibri"/>
        <b/>
        <color theme="1"/>
        <sz val="11.0"/>
      </rPr>
      <t xml:space="preserve"> =</t>
    </r>
  </si>
  <si>
    <r>
      <rPr>
        <rFont val="Calibri"/>
        <b/>
        <color theme="1"/>
        <sz val="11.0"/>
      </rPr>
      <t>1-(</t>
    </r>
    <r>
      <rPr>
        <rFont val="Arial"/>
        <b/>
        <color theme="1"/>
        <sz val="11.0"/>
      </rPr>
      <t>a</t>
    </r>
    <r>
      <rPr>
        <rFont val="Calibri"/>
        <b/>
        <color theme="1"/>
        <sz val="11.0"/>
      </rPr>
      <t>/2) =</t>
    </r>
  </si>
  <si>
    <r>
      <rPr>
        <rFont val="Calibri"/>
        <color theme="1"/>
      </rPr>
      <t>X</t>
    </r>
    <r>
      <rPr>
        <rFont val="Calibri"/>
        <color theme="1"/>
        <sz val="11.0"/>
      </rPr>
      <t>2 (0,975;9) =</t>
    </r>
  </si>
  <si>
    <t>Busco en la Tabla X2 la Fila 9 y la Columna 0,975, y escribo el valor que se encuentra en la intersección de ambos valores.</t>
  </si>
  <si>
    <r>
      <rPr>
        <rFont val="Calibri"/>
        <color theme="1"/>
      </rPr>
      <t>X</t>
    </r>
    <r>
      <rPr>
        <rFont val="Calibri"/>
        <color theme="1"/>
        <sz val="11.0"/>
      </rPr>
      <t>2 (0,025;9) =</t>
    </r>
  </si>
  <si>
    <t>Busco en la Tabla X2 la Fila 9 y la Columna 0,025, y escribo el valor que se encuentra en la intersección de ambos valores.</t>
  </si>
  <si>
    <t>LI V(r)  =</t>
  </si>
  <si>
    <t>LS V(r)  =</t>
  </si>
  <si>
    <r>
      <rPr>
        <rFont val="Calibri"/>
        <color theme="1"/>
        <sz val="11.0"/>
      </rPr>
      <t xml:space="preserve">Dado que el valor de la varianza: V(r) = 0,0867 está entre los límites de aceptación, podemos decir que </t>
    </r>
    <r>
      <rPr>
        <rFont val="Calibri"/>
        <b/>
        <color theme="1"/>
        <sz val="11.0"/>
      </rPr>
      <t>no se puede rechazar</t>
    </r>
    <r>
      <rPr>
        <rFont val="Calibri"/>
        <color theme="1"/>
        <sz val="11.0"/>
      </rPr>
      <t xml:space="preserve"> que el conjunto de 100 números ri tiene una varianza de 1/12=0,08333.</t>
    </r>
  </si>
  <si>
    <t>Prueba Chi-Cuadrada</t>
  </si>
  <si>
    <t>n =</t>
  </si>
  <si>
    <t>intervalor</t>
  </si>
  <si>
    <t>m =</t>
  </si>
  <si>
    <t>frecuencia esperada</t>
  </si>
  <si>
    <t>Ei =</t>
  </si>
  <si>
    <t>frecuencia observada</t>
  </si>
  <si>
    <t>Intervalo</t>
  </si>
  <si>
    <t>Oi</t>
  </si>
  <si>
    <t>Ei</t>
  </si>
  <si>
    <t>(Ei - Oi)2/Ei</t>
  </si>
  <si>
    <t xml:space="preserve">valor estadistico </t>
  </si>
  <si>
    <r>
      <rPr>
        <rFont val="Symbol"/>
        <b/>
        <color theme="1"/>
        <sz val="11.0"/>
      </rPr>
      <t>a</t>
    </r>
    <r>
      <rPr>
        <rFont val="Calibri"/>
        <b/>
        <color theme="1"/>
        <sz val="11.0"/>
      </rPr>
      <t xml:space="preserve"> =</t>
    </r>
  </si>
  <si>
    <t>valor critico</t>
  </si>
  <si>
    <t>m-1 =</t>
  </si>
  <si>
    <r>
      <rPr>
        <rFont val="Calibri"/>
        <color theme="1"/>
      </rPr>
      <t>X</t>
    </r>
    <r>
      <rPr>
        <rFont val="Calibri"/>
        <color theme="1"/>
        <sz val="11.0"/>
      </rPr>
      <t>2 (0,05;9) =</t>
    </r>
  </si>
  <si>
    <t>Busco en la Tabla X2 la Fila 3 y la Columna 0,01, y escribo el valor que se encuentra en la intersección de ambos valores.</t>
  </si>
  <si>
    <r>
      <rPr>
        <rFont val="Calibri"/>
        <color theme="1"/>
        <sz val="11.0"/>
      </rPr>
      <t xml:space="preserve">Como el estadístico       = </t>
    </r>
    <r>
      <rPr>
        <rFont val="Calibri"/>
        <b/>
        <color theme="1"/>
        <sz val="11.0"/>
      </rPr>
      <t>5,6000</t>
    </r>
    <r>
      <rPr>
        <rFont val="Calibri"/>
        <color theme="1"/>
        <sz val="11.0"/>
      </rPr>
      <t xml:space="preserve"> es </t>
    </r>
    <r>
      <rPr>
        <rFont val="Calibri"/>
        <color theme="1"/>
        <sz val="11.0"/>
        <u/>
      </rPr>
      <t>menor</t>
    </r>
    <r>
      <rPr>
        <rFont val="Calibri"/>
        <color theme="1"/>
        <sz val="11.0"/>
      </rPr>
      <t xml:space="preserve"> que el valor obtenido por tabla de 16</t>
    </r>
    <r>
      <rPr>
        <rFont val="Calibri"/>
        <b/>
        <color theme="1"/>
        <sz val="11.0"/>
      </rPr>
      <t xml:space="preserve">,919 </t>
    </r>
    <r>
      <rPr>
        <rFont val="Calibri"/>
        <color theme="1"/>
        <sz val="11.0"/>
      </rPr>
      <t xml:space="preserve">entonces </t>
    </r>
    <r>
      <rPr>
        <rFont val="Calibri"/>
        <b/>
        <color theme="1"/>
        <sz val="11.0"/>
      </rPr>
      <t xml:space="preserve">no se puede rechazar </t>
    </r>
    <r>
      <rPr>
        <rFont val="Calibri"/>
        <color theme="1"/>
        <sz val="11.0"/>
      </rPr>
      <t>que el conjunto de números ri sigue una distribución uniforme.</t>
    </r>
  </si>
  <si>
    <t>Prueba de Corridas arriba y abajo</t>
  </si>
  <si>
    <t>S = {</t>
  </si>
  <si>
    <r>
      <rPr>
        <rFont val="Symbol"/>
        <b/>
        <color theme="1"/>
        <sz val="11.0"/>
      </rPr>
      <t>a</t>
    </r>
    <r>
      <rPr>
        <rFont val="Calibri"/>
        <b/>
        <color theme="1"/>
        <sz val="11.0"/>
      </rPr>
      <t xml:space="preserve"> =</t>
    </r>
  </si>
  <si>
    <r>
      <rPr>
        <rFont val="Symbol"/>
        <b/>
        <color theme="1"/>
        <sz val="11.0"/>
      </rPr>
      <t>a</t>
    </r>
    <r>
      <rPr>
        <rFont val="Calibri"/>
        <b/>
        <color theme="1"/>
        <sz val="11.0"/>
      </rPr>
      <t>/2 =</t>
    </r>
  </si>
  <si>
    <r>
      <rPr>
        <rFont val="Calibri"/>
        <b/>
        <color theme="1"/>
        <sz val="11.0"/>
      </rPr>
      <t>1-(</t>
    </r>
    <r>
      <rPr>
        <rFont val="Symbol"/>
        <b/>
        <color theme="1"/>
        <sz val="11.0"/>
      </rPr>
      <t>a</t>
    </r>
    <r>
      <rPr>
        <rFont val="Calibri"/>
        <b/>
        <color theme="1"/>
        <sz val="11.0"/>
      </rPr>
      <t>/2) =</t>
    </r>
  </si>
  <si>
    <t>Ésto busco en el cuerpo de la tabla de distribución Normal estándar.</t>
  </si>
  <si>
    <r>
      <rPr>
        <rFont val="Arial"/>
        <b/>
        <color theme="1"/>
        <sz val="11.0"/>
      </rPr>
      <t>m</t>
    </r>
    <r>
      <rPr>
        <rFont val="Calibri"/>
        <b/>
        <color theme="1"/>
        <sz val="11.0"/>
      </rPr>
      <t xml:space="preserve"> C0 =</t>
    </r>
  </si>
  <si>
    <r>
      <rPr>
        <rFont val="Arial"/>
        <b/>
        <color theme="1"/>
        <sz val="11.0"/>
      </rPr>
      <t>σ²co</t>
    </r>
    <r>
      <rPr>
        <rFont val="Calibri"/>
        <b/>
        <color theme="1"/>
        <sz val="11.0"/>
      </rPr>
      <t xml:space="preserve"> =</t>
    </r>
  </si>
  <si>
    <t>Z0 =</t>
  </si>
  <si>
    <r>
      <rPr>
        <rFont val="Calibri"/>
        <b/>
        <color theme="1"/>
        <sz val="11.0"/>
      </rPr>
      <t xml:space="preserve">Z </t>
    </r>
    <r>
      <rPr>
        <rFont val="Symbol"/>
        <b/>
        <color theme="1"/>
        <sz val="11.0"/>
        <vertAlign val="subscript"/>
      </rPr>
      <t>a</t>
    </r>
    <r>
      <rPr>
        <rFont val="Calibri"/>
        <b/>
        <color theme="1"/>
        <sz val="11.0"/>
        <vertAlign val="subscript"/>
      </rPr>
      <t>/2</t>
    </r>
    <r>
      <rPr>
        <rFont val="Calibri"/>
        <b/>
        <color theme="1"/>
        <sz val="11.0"/>
      </rPr>
      <t xml:space="preserve"> =</t>
    </r>
  </si>
  <si>
    <t>El valor que escribo se forma sumando el valor de la fila más el valor de la Columna</t>
  </si>
  <si>
    <r>
      <rPr>
        <rFont val="Calibri"/>
        <b/>
        <color theme="1"/>
        <sz val="11.0"/>
      </rPr>
      <t xml:space="preserve">Z </t>
    </r>
    <r>
      <rPr>
        <rFont val="Symbol"/>
        <b/>
        <color theme="1"/>
        <sz val="11.0"/>
        <vertAlign val="subscript"/>
      </rPr>
      <t>a</t>
    </r>
    <r>
      <rPr>
        <rFont val="Calibri"/>
        <b/>
        <color theme="1"/>
        <sz val="11.0"/>
        <vertAlign val="subscript"/>
      </rPr>
      <t>/2</t>
    </r>
    <r>
      <rPr>
        <rFont val="Calibri"/>
        <b/>
        <color theme="1"/>
        <sz val="11.0"/>
      </rPr>
      <t xml:space="preserve"> =</t>
    </r>
  </si>
  <si>
    <r>
      <rPr>
        <rFont val="Calibri"/>
        <color theme="1"/>
        <sz val="11.0"/>
      </rPr>
      <t>Como el valor Z</t>
    </r>
    <r>
      <rPr>
        <rFont val="Calibri"/>
        <color theme="1"/>
        <sz val="10.0"/>
      </rPr>
      <t xml:space="preserve">0 = 0,08 </t>
    </r>
    <r>
      <rPr>
        <rFont val="Calibri"/>
        <color theme="1"/>
        <sz val="11.0"/>
      </rPr>
      <t xml:space="preserve">es menor que el valor crítico Z </t>
    </r>
    <r>
      <rPr>
        <rFont val="Arial"/>
        <color theme="1"/>
        <sz val="11.0"/>
      </rPr>
      <t>a</t>
    </r>
    <r>
      <rPr>
        <rFont val="Calibri"/>
        <color theme="1"/>
        <sz val="11.0"/>
      </rPr>
      <t xml:space="preserve">/2 =1,96 de la tabla de Distribución Normal Estándar, se concluye que </t>
    </r>
    <r>
      <rPr>
        <rFont val="Calibri"/>
        <b/>
        <color theme="1"/>
        <sz val="11.0"/>
      </rPr>
      <t>no se puede rechazar</t>
    </r>
    <r>
      <rPr>
        <rFont val="Calibri"/>
        <color theme="1"/>
        <sz val="11.0"/>
      </rPr>
      <t xml:space="preserve"> que los números del conjunto ri son independientes. Concluyendo con esta prueba que </t>
    </r>
    <r>
      <rPr>
        <rFont val="Calibri"/>
        <b/>
        <color theme="1"/>
        <sz val="11.0"/>
      </rPr>
      <t>el conjunto de números ri se puede usar en un estudio de simulación.</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</si>
</sst>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
    <numFmt numFmtId="165" formatCode="0.000"/>
  </numFmts>
  <fonts count="13">
    <font>
      <sz val="10.0"/>
      <color rgb="FF000000"/>
      <name val="Arial"/>
      <scheme val="minor"/>
    </font>
    <font>
      <color theme="1"/>
      <name val="Arial"/>
      <scheme val="minor"/>
    </font>
    <font>
      <b/>
      <sz val="14.0"/>
      <color theme="1"/>
      <name val="Calibri"/>
    </font>
    <font/>
    <font>
      <sz val="7.0"/>
      <color theme="1"/>
      <name val="Arial"/>
    </font>
    <font>
      <color theme="1"/>
      <name val="Arial"/>
    </font>
    <font>
      <b/>
      <color theme="1"/>
      <name val="Arial"/>
      <scheme val="minor"/>
    </font>
    <font>
      <b/>
      <sz val="11.0"/>
      <color theme="1"/>
      <name val="Calibri"/>
    </font>
    <font>
      <sz val="11.0"/>
      <color theme="1"/>
      <name val="Calibri"/>
    </font>
    <font>
      <b/>
      <sz val="11.0"/>
      <color theme="4"/>
      <name val="Calibri"/>
    </font>
    <font>
      <color theme="1"/>
      <name val="Calibri"/>
    </font>
    <font>
      <b/>
      <sz val="11.0"/>
      <color rgb="FFFF0000"/>
      <name val="Calibri"/>
    </font>
    <font>
      <sz val="11.0"/>
      <color rgb="FFFFFFFF"/>
      <name val="Calibri"/>
    </font>
  </fonts>
  <fills count="13">
    <fill>
      <patternFill patternType="none"/>
    </fill>
    <fill>
      <patternFill patternType="lightGray"/>
    </fill>
    <fill>
      <patternFill patternType="solid">
        <fgColor rgb="FFB6D7A8"/>
        <bgColor rgb="FFB6D7A8"/>
      </patternFill>
    </fill>
    <fill>
      <patternFill patternType="solid">
        <fgColor rgb="FFD9EAD3"/>
        <bgColor rgb="FFD9EAD3"/>
      </patternFill>
    </fill>
    <fill>
      <patternFill patternType="solid">
        <fgColor rgb="FFFDE9D9"/>
        <bgColor rgb="FFFDE9D9"/>
      </patternFill>
    </fill>
    <fill>
      <patternFill patternType="solid">
        <fgColor rgb="FFF9CB9C"/>
        <bgColor rgb="FFF9CB9C"/>
      </patternFill>
    </fill>
    <fill>
      <patternFill patternType="solid">
        <fgColor rgb="FFFFFF00"/>
        <bgColor rgb="FFFFFF00"/>
      </patternFill>
    </fill>
    <fill>
      <patternFill patternType="solid">
        <fgColor rgb="FFFFC000"/>
        <bgColor rgb="FFFFC000"/>
      </patternFill>
    </fill>
    <fill>
      <patternFill patternType="solid">
        <fgColor rgb="FFEAF1DD"/>
        <bgColor rgb="FFEAF1DD"/>
      </patternFill>
    </fill>
    <fill>
      <patternFill patternType="solid">
        <fgColor rgb="FF99FF66"/>
        <bgColor rgb="FF99FF66"/>
      </patternFill>
    </fill>
    <fill>
      <patternFill patternType="solid">
        <fgColor rgb="FFE06666"/>
        <bgColor rgb="FFE06666"/>
      </patternFill>
    </fill>
    <fill>
      <patternFill patternType="solid">
        <fgColor rgb="FFFCE5CD"/>
        <bgColor rgb="FFFCE5CD"/>
      </patternFill>
    </fill>
    <fill>
      <patternFill patternType="solid">
        <fgColor rgb="FFFFF2CC"/>
        <bgColor rgb="FFFFF2CC"/>
      </patternFill>
    </fill>
  </fills>
  <borders count="1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right/>
      <top/>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0" fillId="0" fontId="1" numFmtId="0" xfId="0" applyAlignment="1" applyFont="1">
      <alignment horizontal="center"/>
    </xf>
    <xf borderId="1" fillId="2" fontId="2" numFmtId="0" xfId="0" applyAlignment="1" applyBorder="1" applyFill="1" applyFont="1">
      <alignment horizontal="center" readingOrder="0"/>
    </xf>
    <xf borderId="2" fillId="0" fontId="3" numFmtId="0" xfId="0" applyBorder="1" applyFont="1"/>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0" fillId="0" fontId="4" numFmtId="0" xfId="0" applyAlignment="1" applyFont="1">
      <alignment readingOrder="0" shrinkToFit="0" wrapText="1"/>
    </xf>
    <xf borderId="0" fillId="0" fontId="5" numFmtId="0" xfId="0" applyAlignment="1" applyFont="1">
      <alignment readingOrder="0" shrinkToFit="0" wrapText="1"/>
    </xf>
    <xf borderId="0" fillId="2" fontId="1" numFmtId="0" xfId="0" applyAlignment="1" applyFont="1">
      <alignment readingOrder="0"/>
    </xf>
    <xf borderId="0" fillId="0" fontId="1" numFmtId="0" xfId="0" applyAlignment="1" applyFont="1">
      <alignment horizontal="right" readingOrder="0"/>
    </xf>
    <xf borderId="0" fillId="0" fontId="5" numFmtId="0" xfId="0" applyAlignment="1" applyFont="1">
      <alignment vertical="bottom"/>
    </xf>
    <xf borderId="0" fillId="2" fontId="5" numFmtId="0" xfId="0" applyAlignment="1" applyFont="1">
      <alignment vertical="bottom"/>
    </xf>
    <xf borderId="0" fillId="0" fontId="6" numFmtId="0" xfId="0" applyAlignment="1" applyFont="1">
      <alignment horizontal="center" readingOrder="0"/>
    </xf>
    <xf borderId="0" fillId="2" fontId="5" numFmtId="0" xfId="0" applyAlignment="1" applyFont="1">
      <alignment horizontal="right" vertical="bottom"/>
    </xf>
    <xf borderId="0" fillId="0" fontId="1" numFmtId="0" xfId="0" applyAlignment="1" applyFont="1">
      <alignment horizontal="right"/>
    </xf>
    <xf borderId="0" fillId="2" fontId="5" numFmtId="0" xfId="0" applyAlignment="1" applyFont="1">
      <alignment vertical="bottom"/>
    </xf>
    <xf borderId="0" fillId="0" fontId="1" numFmtId="164" xfId="0" applyFont="1" applyNumberFormat="1"/>
    <xf borderId="7" fillId="2" fontId="5" numFmtId="0" xfId="0" applyAlignment="1" applyBorder="1" applyFont="1">
      <alignment readingOrder="0" vertical="bottom"/>
    </xf>
    <xf borderId="8" fillId="0" fontId="3" numFmtId="0" xfId="0" applyBorder="1" applyFont="1"/>
    <xf borderId="9" fillId="3" fontId="1" numFmtId="164" xfId="0" applyAlignment="1" applyBorder="1" applyFill="1" applyFont="1" applyNumberFormat="1">
      <alignment horizontal="right"/>
    </xf>
    <xf borderId="0" fillId="0" fontId="1" numFmtId="0" xfId="0" applyAlignment="1" applyFont="1">
      <alignment readingOrder="0"/>
    </xf>
    <xf borderId="7" fillId="2" fontId="2" numFmtId="0" xfId="0" applyAlignment="1" applyBorder="1" applyFont="1">
      <alignment horizontal="center" readingOrder="0"/>
    </xf>
    <xf borderId="10" fillId="0" fontId="3" numFmtId="0" xfId="0" applyBorder="1" applyFont="1"/>
    <xf borderId="0" fillId="2" fontId="5" numFmtId="164" xfId="0" applyAlignment="1" applyFont="1" applyNumberFormat="1">
      <alignment horizontal="right" vertical="bottom"/>
    </xf>
    <xf borderId="0" fillId="0" fontId="7" numFmtId="0" xfId="0" applyAlignment="1" applyFont="1">
      <alignment horizontal="right" vertical="bottom"/>
    </xf>
    <xf borderId="0" fillId="0" fontId="5" numFmtId="0" xfId="0" applyAlignment="1" applyFont="1">
      <alignment horizontal="right" vertical="bottom"/>
    </xf>
    <xf borderId="0" fillId="0" fontId="7" numFmtId="0" xfId="0" applyAlignment="1" applyFont="1">
      <alignment vertical="bottom"/>
    </xf>
    <xf borderId="0" fillId="0" fontId="8" numFmtId="9" xfId="0" applyAlignment="1" applyFont="1" applyNumberFormat="1">
      <alignment horizontal="right" readingOrder="0" vertical="bottom"/>
    </xf>
    <xf borderId="0" fillId="0" fontId="8" numFmtId="0" xfId="0" applyAlignment="1" applyFont="1">
      <alignment horizontal="center" readingOrder="0" vertical="bottom"/>
    </xf>
    <xf borderId="0" fillId="0" fontId="8" numFmtId="0" xfId="0" applyAlignment="1" applyFont="1">
      <alignment readingOrder="0" vertical="bottom"/>
    </xf>
    <xf borderId="0" fillId="0" fontId="8" numFmtId="0" xfId="0" applyAlignment="1" applyFont="1">
      <alignment horizontal="right" vertical="bottom"/>
    </xf>
    <xf borderId="0" fillId="0" fontId="5" numFmtId="164" xfId="0" applyAlignment="1" applyFont="1" applyNumberFormat="1">
      <alignment vertical="bottom"/>
    </xf>
    <xf borderId="0" fillId="0" fontId="8" numFmtId="164" xfId="0" applyAlignment="1" applyFont="1" applyNumberFormat="1">
      <alignment vertical="bottom"/>
    </xf>
    <xf borderId="0" fillId="0" fontId="8" numFmtId="164" xfId="0" applyAlignment="1" applyFont="1" applyNumberFormat="1">
      <alignment horizontal="right" vertical="bottom"/>
    </xf>
    <xf borderId="0" fillId="0" fontId="7" numFmtId="164" xfId="0" applyAlignment="1" applyFont="1" applyNumberFormat="1">
      <alignment vertical="bottom"/>
    </xf>
    <xf borderId="0" fillId="0" fontId="5" numFmtId="9" xfId="0" applyAlignment="1" applyFont="1" applyNumberFormat="1">
      <alignment vertical="bottom"/>
    </xf>
    <xf borderId="0" fillId="0" fontId="7" numFmtId="0" xfId="0" applyAlignment="1" applyFont="1">
      <alignment horizontal="right" readingOrder="0" vertical="bottom"/>
    </xf>
    <xf borderId="9" fillId="2" fontId="8" numFmtId="165" xfId="0" applyAlignment="1" applyBorder="1" applyFont="1" applyNumberFormat="1">
      <alignment horizontal="right" vertical="bottom"/>
    </xf>
    <xf borderId="0" fillId="0" fontId="8" numFmtId="165" xfId="0" applyAlignment="1" applyFont="1" applyNumberFormat="1">
      <alignment horizontal="right" vertical="bottom"/>
    </xf>
    <xf borderId="11" fillId="4" fontId="9" numFmtId="164" xfId="0" applyAlignment="1" applyBorder="1" applyFill="1" applyFont="1" applyNumberFormat="1">
      <alignment horizontal="right" vertical="bottom"/>
    </xf>
    <xf borderId="0" fillId="0" fontId="5" numFmtId="0" xfId="0" applyAlignment="1" applyFont="1">
      <alignment readingOrder="0" vertical="bottom"/>
    </xf>
    <xf borderId="9" fillId="2" fontId="8" numFmtId="164" xfId="0" applyAlignment="1" applyBorder="1" applyFont="1" applyNumberFormat="1">
      <alignment horizontal="right" vertical="bottom"/>
    </xf>
    <xf borderId="0" fillId="0" fontId="8" numFmtId="0" xfId="0" applyAlignment="1" applyFont="1">
      <alignment horizontal="center" vertical="bottom"/>
    </xf>
    <xf borderId="0" fillId="0" fontId="5" numFmtId="0" xfId="0" applyFont="1"/>
    <xf borderId="7" fillId="2" fontId="2" numFmtId="0" xfId="0" applyAlignment="1" applyBorder="1" applyFont="1">
      <alignment horizontal="center"/>
    </xf>
    <xf borderId="9" fillId="2" fontId="7" numFmtId="0" xfId="0" applyAlignment="1" applyBorder="1" applyFont="1">
      <alignment horizontal="center" vertical="bottom"/>
    </xf>
    <xf borderId="0" fillId="0" fontId="5" numFmtId="164" xfId="0" applyAlignment="1" applyFont="1" applyNumberFormat="1">
      <alignment horizontal="right" vertical="bottom"/>
    </xf>
    <xf borderId="0" fillId="0" fontId="5" numFmtId="164" xfId="0" applyAlignment="1" applyFont="1" applyNumberFormat="1">
      <alignment horizontal="right" vertical="bottom"/>
    </xf>
    <xf borderId="0" fillId="0" fontId="8" numFmtId="1" xfId="0" applyAlignment="1" applyFont="1" applyNumberFormat="1">
      <alignment horizontal="right" vertical="bottom"/>
    </xf>
    <xf borderId="0" fillId="0" fontId="10" numFmtId="0" xfId="0" applyAlignment="1" applyFont="1">
      <alignment readingOrder="0" vertical="bottom"/>
    </xf>
    <xf borderId="9" fillId="2" fontId="8" numFmtId="165" xfId="0" applyAlignment="1" applyBorder="1" applyFont="1" applyNumberFormat="1">
      <alignment horizontal="right" readingOrder="0" vertical="bottom"/>
    </xf>
    <xf borderId="0" fillId="0" fontId="10" numFmtId="0" xfId="0" applyAlignment="1" applyFont="1">
      <alignment horizontal="right" vertical="bottom"/>
    </xf>
    <xf borderId="0" fillId="2" fontId="8" numFmtId="1" xfId="0" applyAlignment="1" applyFont="1" applyNumberFormat="1">
      <alignment horizontal="right" vertical="bottom"/>
    </xf>
    <xf borderId="0" fillId="2" fontId="8" numFmtId="165" xfId="0" applyAlignment="1" applyFont="1" applyNumberFormat="1">
      <alignment horizontal="right" vertical="bottom"/>
    </xf>
    <xf borderId="0" fillId="0" fontId="10" numFmtId="0" xfId="0" applyAlignment="1" applyFont="1">
      <alignment vertical="bottom"/>
    </xf>
    <xf borderId="0" fillId="0" fontId="7" numFmtId="165" xfId="0" applyAlignment="1" applyFont="1" applyNumberFormat="1">
      <alignment horizontal="right" vertical="bottom"/>
    </xf>
    <xf borderId="0" fillId="2" fontId="8" numFmtId="9" xfId="0" applyAlignment="1" applyFont="1" applyNumberFormat="1">
      <alignment horizontal="right" readingOrder="0" vertical="bottom"/>
    </xf>
    <xf borderId="0" fillId="2" fontId="10" numFmtId="4" xfId="0" applyAlignment="1" applyFont="1" applyNumberFormat="1">
      <alignment horizontal="right" readingOrder="0" vertical="bottom"/>
    </xf>
    <xf borderId="0" fillId="2" fontId="7" numFmtId="165" xfId="0" applyAlignment="1" applyFont="1" applyNumberFormat="1">
      <alignment horizontal="right" vertical="bottom"/>
    </xf>
    <xf borderId="11" fillId="2" fontId="8" numFmtId="165" xfId="0" applyAlignment="1" applyBorder="1" applyFont="1" applyNumberFormat="1">
      <alignment horizontal="right" vertical="bottom"/>
    </xf>
    <xf borderId="0" fillId="0" fontId="11" numFmtId="0" xfId="0" applyAlignment="1" applyFont="1">
      <alignment readingOrder="0" vertical="bottom"/>
    </xf>
    <xf borderId="0" fillId="0" fontId="8" numFmtId="0" xfId="0" applyAlignment="1" applyFont="1">
      <alignment readingOrder="0" shrinkToFit="0" wrapText="1"/>
    </xf>
    <xf borderId="9" fillId="2" fontId="8" numFmtId="164" xfId="0" applyAlignment="1" applyBorder="1" applyFont="1" applyNumberFormat="1">
      <alignment horizontal="right" readingOrder="0" vertical="bottom"/>
    </xf>
    <xf borderId="0" fillId="0" fontId="5" numFmtId="164" xfId="0" applyAlignment="1" applyFont="1" applyNumberFormat="1">
      <alignment horizontal="right" readingOrder="0" vertical="bottom"/>
    </xf>
    <xf borderId="7" fillId="5" fontId="2" numFmtId="0" xfId="0" applyAlignment="1" applyBorder="1" applyFill="1" applyFont="1">
      <alignment horizontal="center"/>
    </xf>
    <xf borderId="11" fillId="6" fontId="7" numFmtId="0" xfId="0" applyAlignment="1" applyBorder="1" applyFill="1" applyFont="1">
      <alignment horizontal="right" vertical="bottom"/>
    </xf>
    <xf borderId="7" fillId="0" fontId="8" numFmtId="0" xfId="0" applyAlignment="1" applyBorder="1" applyFont="1">
      <alignment horizontal="center"/>
    </xf>
    <xf borderId="9" fillId="0" fontId="8" numFmtId="0" xfId="0" applyAlignment="1" applyBorder="1" applyFont="1">
      <alignment horizontal="center"/>
    </xf>
    <xf borderId="9" fillId="0" fontId="8" numFmtId="0" xfId="0" applyAlignment="1" applyBorder="1" applyFont="1">
      <alignment horizontal="center" readingOrder="0"/>
    </xf>
    <xf borderId="9" fillId="0" fontId="8" numFmtId="164" xfId="0" applyAlignment="1" applyBorder="1" applyFont="1" applyNumberFormat="1">
      <alignment horizontal="center"/>
    </xf>
    <xf borderId="0" fillId="0" fontId="12" numFmtId="164" xfId="0" applyAlignment="1" applyFont="1" applyNumberFormat="1">
      <alignment horizontal="center"/>
    </xf>
    <xf borderId="11" fillId="7" fontId="7" numFmtId="164" xfId="0" applyAlignment="1" applyBorder="1" applyFill="1" applyFont="1" applyNumberFormat="1">
      <alignment horizontal="center"/>
    </xf>
    <xf borderId="0" fillId="0" fontId="10" numFmtId="4" xfId="0" applyAlignment="1" applyFont="1" applyNumberFormat="1">
      <alignment horizontal="right" readingOrder="0" vertical="bottom"/>
    </xf>
    <xf borderId="11" fillId="8" fontId="8" numFmtId="0" xfId="0" applyAlignment="1" applyBorder="1" applyFill="1" applyFont="1">
      <alignment horizontal="right" vertical="bottom"/>
    </xf>
    <xf borderId="11" fillId="9" fontId="8" numFmtId="165" xfId="0" applyAlignment="1" applyBorder="1" applyFill="1" applyFont="1" applyNumberFormat="1">
      <alignment horizontal="right" vertical="bottom"/>
    </xf>
    <xf borderId="0" fillId="0" fontId="11" numFmtId="0" xfId="0" applyAlignment="1" applyFont="1">
      <alignment vertical="bottom"/>
    </xf>
    <xf borderId="0" fillId="0" fontId="5" numFmtId="165" xfId="0" applyAlignment="1" applyFont="1" applyNumberFormat="1">
      <alignment vertical="bottom"/>
    </xf>
    <xf borderId="7" fillId="10" fontId="2" numFmtId="0" xfId="0" applyAlignment="1" applyBorder="1" applyFill="1" applyFont="1">
      <alignment horizontal="center"/>
    </xf>
    <xf borderId="0" fillId="0" fontId="5" numFmtId="0" xfId="0" applyAlignment="1" applyFont="1">
      <alignment horizontal="center" vertical="bottom"/>
    </xf>
    <xf borderId="11" fillId="11" fontId="8" numFmtId="0" xfId="0" applyAlignment="1" applyBorder="1" applyFill="1" applyFont="1">
      <alignment horizontal="right" vertical="bottom"/>
    </xf>
    <xf borderId="0" fillId="0" fontId="5" numFmtId="0" xfId="0" applyAlignment="1" applyFont="1">
      <alignment horizontal="right" readingOrder="0" vertical="bottom"/>
    </xf>
    <xf borderId="11" fillId="12" fontId="8" numFmtId="0" xfId="0" applyAlignment="1" applyBorder="1" applyFill="1" applyFont="1">
      <alignment horizontal="right" vertical="bottom"/>
    </xf>
    <xf borderId="0" fillId="0" fontId="5" numFmtId="0" xfId="0" applyAlignment="1" applyFont="1">
      <alignment horizontal="center" readingOrder="0" vertical="bottom"/>
    </xf>
    <xf borderId="0" fillId="0" fontId="8" numFmtId="4" xfId="0" applyAlignment="1" applyFont="1" applyNumberFormat="1">
      <alignment horizontal="right" readingOrder="0" vertical="bottom"/>
    </xf>
    <xf borderId="0" fillId="0" fontId="5" numFmtId="4" xfId="0" applyAlignment="1" applyFont="1" applyNumberFormat="1">
      <alignment vertical="bottom"/>
    </xf>
    <xf borderId="0" fillId="0" fontId="7" numFmtId="164" xfId="0" applyAlignment="1" applyFont="1" applyNumberFormat="1">
      <alignment horizontal="right" vertical="bottom"/>
    </xf>
    <xf borderId="0" fillId="0" fontId="11" numFmtId="0" xfId="0" applyAlignment="1" applyFont="1">
      <alignment shrinkToFit="0" wrapText="1"/>
    </xf>
    <xf borderId="0" fillId="0" fontId="7" numFmtId="0" xfId="0" applyAlignment="1" applyFont="1">
      <alignment readingOrder="0" vertical="bottom"/>
    </xf>
    <xf borderId="9" fillId="7" fontId="8" numFmtId="2" xfId="0" applyAlignment="1" applyBorder="1" applyFont="1" applyNumberFormat="1">
      <alignment horizontal="right" vertical="bottom"/>
    </xf>
    <xf borderId="0" fillId="0" fontId="11" numFmtId="0" xfId="0" applyAlignment="1" applyFont="1">
      <alignment shrinkToFit="0" vertical="bottom" wrapText="1"/>
    </xf>
    <xf borderId="0" fillId="0" fontId="8" numFmtId="2"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1.png"/><Relationship Id="rId3"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0.png"/><Relationship Id="rId3" Type="http://schemas.openxmlformats.org/officeDocument/2006/relationships/image" Target="../media/image8.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4.png"/><Relationship Id="rId3" Type="http://schemas.openxmlformats.org/officeDocument/2006/relationships/image" Target="../media/image5.pn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962025</xdr:colOff>
      <xdr:row>6</xdr:row>
      <xdr:rowOff>219075</xdr:rowOff>
    </xdr:from>
    <xdr:ext cx="1390650" cy="4095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57150</xdr:colOff>
      <xdr:row>6</xdr:row>
      <xdr:rowOff>190500</xdr:rowOff>
    </xdr:from>
    <xdr:ext cx="819150" cy="466725"/>
    <xdr:pic>
      <xdr:nvPicPr>
        <xdr:cNvPr id="0" name="image11.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809625</xdr:colOff>
      <xdr:row>6</xdr:row>
      <xdr:rowOff>219075</xdr:rowOff>
    </xdr:from>
    <xdr:ext cx="1457325" cy="409575"/>
    <xdr:pic>
      <xdr:nvPicPr>
        <xdr:cNvPr id="0" name="image2.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838200</xdr:colOff>
      <xdr:row>21</xdr:row>
      <xdr:rowOff>95250</xdr:rowOff>
    </xdr:from>
    <xdr:ext cx="1257300" cy="466725"/>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228600</xdr:colOff>
      <xdr:row>21</xdr:row>
      <xdr:rowOff>19050</xdr:rowOff>
    </xdr:from>
    <xdr:ext cx="1133475" cy="609600"/>
    <xdr:pic>
      <xdr:nvPicPr>
        <xdr:cNvPr id="0" name="image10.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9525</xdr:colOff>
      <xdr:row>21</xdr:row>
      <xdr:rowOff>95250</xdr:rowOff>
    </xdr:from>
    <xdr:ext cx="1323975" cy="466725"/>
    <xdr:pic>
      <xdr:nvPicPr>
        <xdr:cNvPr id="0" name="image8.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266700</xdr:colOff>
      <xdr:row>21</xdr:row>
      <xdr:rowOff>161925</xdr:rowOff>
    </xdr:from>
    <xdr:ext cx="228600" cy="228600"/>
    <xdr:pic>
      <xdr:nvPicPr>
        <xdr:cNvPr id="0" name="image6.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466725</xdr:colOff>
      <xdr:row>5</xdr:row>
      <xdr:rowOff>95250</xdr:rowOff>
    </xdr:from>
    <xdr:ext cx="1209675" cy="428625"/>
    <xdr:pic>
      <xdr:nvPicPr>
        <xdr:cNvPr id="0" name="image7.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466725</xdr:colOff>
      <xdr:row>8</xdr:row>
      <xdr:rowOff>114300</xdr:rowOff>
    </xdr:from>
    <xdr:ext cx="971550" cy="428625"/>
    <xdr:pic>
      <xdr:nvPicPr>
        <xdr:cNvPr id="0" name="image4.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466725</xdr:colOff>
      <xdr:row>11</xdr:row>
      <xdr:rowOff>19050</xdr:rowOff>
    </xdr:from>
    <xdr:ext cx="1314450" cy="428625"/>
    <xdr:pic>
      <xdr:nvPicPr>
        <xdr:cNvPr id="0" name="image5.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485775</xdr:colOff>
      <xdr:row>13</xdr:row>
      <xdr:rowOff>142875</xdr:rowOff>
    </xdr:from>
    <xdr:ext cx="1162050" cy="428625"/>
    <xdr:pic>
      <xdr:nvPicPr>
        <xdr:cNvPr id="0" name="image9.png" title="Imagen"/>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13.75"/>
    <col customWidth="1" min="10" max="10" width="16.5"/>
    <col customWidth="1" min="11" max="11" width="30.38"/>
    <col customWidth="1" min="12" max="12" width="21.38"/>
    <col customWidth="1" min="13" max="13" width="24.38"/>
  </cols>
  <sheetData>
    <row r="1">
      <c r="K1" s="1"/>
    </row>
    <row r="2">
      <c r="B2" s="2" t="s">
        <v>0</v>
      </c>
      <c r="C2" s="3"/>
      <c r="D2" s="3"/>
      <c r="E2" s="3"/>
      <c r="F2" s="3"/>
      <c r="G2" s="3"/>
      <c r="H2" s="3"/>
      <c r="I2" s="3"/>
      <c r="J2" s="4"/>
      <c r="K2" s="1"/>
    </row>
    <row r="3">
      <c r="B3" s="5"/>
      <c r="C3" s="6"/>
      <c r="D3" s="6"/>
      <c r="E3" s="6"/>
      <c r="F3" s="6"/>
      <c r="G3" s="6"/>
      <c r="H3" s="6"/>
      <c r="I3" s="6"/>
      <c r="J3" s="7"/>
      <c r="K3" s="1"/>
    </row>
    <row r="4">
      <c r="K4" s="1"/>
    </row>
    <row r="5">
      <c r="K5" s="1"/>
    </row>
    <row r="6">
      <c r="A6" s="8"/>
      <c r="B6" s="9" t="s">
        <v>1</v>
      </c>
      <c r="K6" s="1"/>
    </row>
    <row r="7">
      <c r="A7" s="8"/>
      <c r="K7" s="1"/>
    </row>
    <row r="8">
      <c r="A8" s="8"/>
      <c r="K8" s="1"/>
    </row>
    <row r="9">
      <c r="F9" s="10" t="s">
        <v>2</v>
      </c>
      <c r="G9" s="11">
        <v>5324.0</v>
      </c>
      <c r="K9" s="1"/>
    </row>
    <row r="10">
      <c r="C10" s="12"/>
      <c r="F10" s="13" t="s">
        <v>3</v>
      </c>
      <c r="G10" s="11">
        <v>2026.0</v>
      </c>
      <c r="I10" s="14" t="s">
        <v>4</v>
      </c>
      <c r="K10" s="14" t="s">
        <v>5</v>
      </c>
    </row>
    <row r="11">
      <c r="B11" s="15">
        <v>0.0</v>
      </c>
      <c r="C11" s="12" t="s">
        <v>6</v>
      </c>
      <c r="D11" s="12">
        <f>G10*G9</f>
        <v>10786424</v>
      </c>
      <c r="F11" s="13" t="s">
        <v>7</v>
      </c>
      <c r="G11" s="16" t="str">
        <f t="shared" ref="G11:G110" si="1">MID(TEXT(D11, "00000000"), 3, 4)</f>
        <v>7864</v>
      </c>
      <c r="H11" s="12"/>
      <c r="I11" s="17" t="s">
        <v>8</v>
      </c>
      <c r="J11" s="18">
        <f t="shared" ref="J11:J110" si="2">G11/10000</f>
        <v>0.7864</v>
      </c>
      <c r="K11" s="1">
        <f t="shared" ref="K11:K110" si="3">IF(J11&lt;=0.1287,0,IF(J11&lt;=0.3926,1,IF(J11&lt;=0.6631,2,IF(J11&lt;=0.848,3,IF(J11&lt;=0.9427,4,IF(J11&lt;=0.9816,5,IF(J11&lt;=0.9948,6,IF(J11&lt;=0.9987,7,8))))))))</f>
        <v>3</v>
      </c>
      <c r="L11" s="19" t="s">
        <v>9</v>
      </c>
      <c r="M11" s="20"/>
    </row>
    <row r="12">
      <c r="B12" s="15">
        <v>1.0</v>
      </c>
      <c r="C12" s="12" t="s">
        <v>10</v>
      </c>
      <c r="D12" s="12">
        <f>G11*G9</f>
        <v>41867936</v>
      </c>
      <c r="F12" s="13" t="s">
        <v>11</v>
      </c>
      <c r="G12" s="16" t="str">
        <f t="shared" si="1"/>
        <v>8679</v>
      </c>
      <c r="H12" s="12"/>
      <c r="I12" s="17" t="s">
        <v>12</v>
      </c>
      <c r="J12" s="18">
        <f t="shared" si="2"/>
        <v>0.8679</v>
      </c>
      <c r="K12" s="1">
        <f t="shared" si="3"/>
        <v>4</v>
      </c>
      <c r="L12" s="21">
        <v>0.7864</v>
      </c>
      <c r="M12" s="21">
        <v>0.7888</v>
      </c>
    </row>
    <row r="13">
      <c r="B13" s="15">
        <v>2.0</v>
      </c>
      <c r="C13" s="12" t="s">
        <v>13</v>
      </c>
      <c r="D13" s="12">
        <f>G12*G9</f>
        <v>46206996</v>
      </c>
      <c r="F13" s="13" t="s">
        <v>14</v>
      </c>
      <c r="G13" s="16" t="str">
        <f t="shared" si="1"/>
        <v>2069</v>
      </c>
      <c r="H13" s="12"/>
      <c r="I13" s="17" t="s">
        <v>15</v>
      </c>
      <c r="J13" s="18">
        <f t="shared" si="2"/>
        <v>0.2069</v>
      </c>
      <c r="K13" s="1">
        <f t="shared" si="3"/>
        <v>1</v>
      </c>
      <c r="L13" s="21">
        <v>0.8679</v>
      </c>
      <c r="M13" s="21">
        <v>0.9957</v>
      </c>
    </row>
    <row r="14">
      <c r="B14" s="15">
        <v>3.0</v>
      </c>
      <c r="C14" s="12" t="str">
        <f t="shared" ref="C14:C110" si="4">"Y"&amp;B14&amp;" = (X"&amp;B14&amp;")*a ="</f>
        <v>Y3 = (X3)*a =</v>
      </c>
      <c r="D14" s="12">
        <f t="shared" ref="D14:D110" si="5">G13*$G$9</f>
        <v>11015356</v>
      </c>
      <c r="F14" s="17" t="str">
        <f t="shared" ref="F14:F110" si="6">"X"&amp;B14+1&amp;" ="</f>
        <v>X4 =</v>
      </c>
      <c r="G14" s="16" t="str">
        <f t="shared" si="1"/>
        <v>0153</v>
      </c>
      <c r="H14" s="12"/>
      <c r="I14" s="17" t="s">
        <v>16</v>
      </c>
      <c r="J14" s="18">
        <f t="shared" si="2"/>
        <v>0.0153</v>
      </c>
      <c r="K14" s="1">
        <f t="shared" si="3"/>
        <v>0</v>
      </c>
      <c r="L14" s="21">
        <v>0.2069</v>
      </c>
      <c r="M14" s="21">
        <v>0.011</v>
      </c>
    </row>
    <row r="15">
      <c r="B15" s="15">
        <v>4.0</v>
      </c>
      <c r="C15" s="12" t="str">
        <f t="shared" si="4"/>
        <v>Y4 = (X4)*a =</v>
      </c>
      <c r="D15" s="12">
        <f t="shared" si="5"/>
        <v>814572</v>
      </c>
      <c r="F15" s="17" t="str">
        <f t="shared" si="6"/>
        <v>X5 =</v>
      </c>
      <c r="G15" s="16" t="str">
        <f t="shared" si="1"/>
        <v>8145</v>
      </c>
      <c r="H15" s="12"/>
      <c r="I15" s="17" t="s">
        <v>17</v>
      </c>
      <c r="J15" s="18">
        <f t="shared" si="2"/>
        <v>0.8145</v>
      </c>
      <c r="K15" s="1">
        <f t="shared" si="3"/>
        <v>3</v>
      </c>
      <c r="L15" s="21">
        <v>0.0153</v>
      </c>
      <c r="M15" s="21">
        <v>0.5856</v>
      </c>
    </row>
    <row r="16">
      <c r="B16" s="15">
        <v>5.0</v>
      </c>
      <c r="C16" s="12" t="str">
        <f t="shared" si="4"/>
        <v>Y5 = (X5)*a =</v>
      </c>
      <c r="D16" s="12">
        <f t="shared" si="5"/>
        <v>43363980</v>
      </c>
      <c r="F16" s="17" t="str">
        <f t="shared" si="6"/>
        <v>X6 =</v>
      </c>
      <c r="G16" s="16" t="str">
        <f t="shared" si="1"/>
        <v>3639</v>
      </c>
      <c r="H16" s="12"/>
      <c r="I16" s="17" t="s">
        <v>18</v>
      </c>
      <c r="J16" s="18">
        <f t="shared" si="2"/>
        <v>0.3639</v>
      </c>
      <c r="K16" s="1">
        <f t="shared" si="3"/>
        <v>1</v>
      </c>
      <c r="L16" s="21">
        <v>0.8145</v>
      </c>
      <c r="M16" s="21">
        <v>0.1773</v>
      </c>
      <c r="Y16" s="16"/>
    </row>
    <row r="17">
      <c r="B17" s="15">
        <v>6.0</v>
      </c>
      <c r="C17" s="12" t="str">
        <f t="shared" si="4"/>
        <v>Y6 = (X6)*a =</v>
      </c>
      <c r="D17" s="12">
        <f t="shared" si="5"/>
        <v>19374036</v>
      </c>
      <c r="F17" s="17" t="str">
        <f t="shared" si="6"/>
        <v>X7 =</v>
      </c>
      <c r="G17" s="16" t="str">
        <f t="shared" si="1"/>
        <v>3740</v>
      </c>
      <c r="H17" s="12"/>
      <c r="I17" s="17" t="s">
        <v>19</v>
      </c>
      <c r="J17" s="18">
        <f t="shared" si="2"/>
        <v>0.374</v>
      </c>
      <c r="K17" s="1">
        <f t="shared" si="3"/>
        <v>1</v>
      </c>
      <c r="L17" s="21">
        <v>0.3639</v>
      </c>
      <c r="M17" s="21">
        <v>0.4394</v>
      </c>
      <c r="Y17" s="16"/>
    </row>
    <row r="18">
      <c r="B18" s="15">
        <v>7.0</v>
      </c>
      <c r="C18" s="12" t="str">
        <f t="shared" si="4"/>
        <v>Y7 = (X7)*a =</v>
      </c>
      <c r="D18" s="12">
        <f t="shared" si="5"/>
        <v>19911760</v>
      </c>
      <c r="F18" s="17" t="str">
        <f t="shared" si="6"/>
        <v>X8 =</v>
      </c>
      <c r="G18" s="16" t="str">
        <f t="shared" si="1"/>
        <v>9117</v>
      </c>
      <c r="H18" s="12"/>
      <c r="I18" s="17" t="s">
        <v>20</v>
      </c>
      <c r="J18" s="18">
        <f t="shared" si="2"/>
        <v>0.9117</v>
      </c>
      <c r="K18" s="1">
        <f t="shared" si="3"/>
        <v>4</v>
      </c>
      <c r="L18" s="21">
        <v>0.374</v>
      </c>
      <c r="M18" s="21">
        <v>0.3936</v>
      </c>
      <c r="Y18" s="16"/>
    </row>
    <row r="19">
      <c r="B19" s="15">
        <v>8.0</v>
      </c>
      <c r="C19" s="12" t="str">
        <f t="shared" si="4"/>
        <v>Y8 = (X8)*a =</v>
      </c>
      <c r="D19" s="12">
        <f t="shared" si="5"/>
        <v>48538908</v>
      </c>
      <c r="F19" s="17" t="str">
        <f t="shared" si="6"/>
        <v>X9 =</v>
      </c>
      <c r="G19" s="16" t="str">
        <f t="shared" si="1"/>
        <v>5389</v>
      </c>
      <c r="H19" s="12"/>
      <c r="I19" s="17" t="s">
        <v>21</v>
      </c>
      <c r="J19" s="18">
        <f t="shared" si="2"/>
        <v>0.5389</v>
      </c>
      <c r="K19" s="1">
        <f t="shared" si="3"/>
        <v>2</v>
      </c>
      <c r="L19" s="21">
        <v>0.9117</v>
      </c>
      <c r="M19" s="21">
        <v>0.9552</v>
      </c>
      <c r="Y19" s="16"/>
    </row>
    <row r="20">
      <c r="B20" s="15">
        <v>9.0</v>
      </c>
      <c r="C20" s="12" t="str">
        <f t="shared" si="4"/>
        <v>Y9 = (X9)*a =</v>
      </c>
      <c r="D20" s="12">
        <f t="shared" si="5"/>
        <v>28691036</v>
      </c>
      <c r="F20" s="17" t="str">
        <f t="shared" si="6"/>
        <v>X10 =</v>
      </c>
      <c r="G20" s="16" t="str">
        <f t="shared" si="1"/>
        <v>6910</v>
      </c>
      <c r="H20" s="12"/>
      <c r="I20" s="17" t="s">
        <v>22</v>
      </c>
      <c r="J20" s="18">
        <f t="shared" si="2"/>
        <v>0.691</v>
      </c>
      <c r="K20" s="1">
        <f t="shared" si="3"/>
        <v>3</v>
      </c>
      <c r="L20" s="21">
        <v>0.5389</v>
      </c>
      <c r="M20" s="21">
        <v>0.8548</v>
      </c>
      <c r="Y20" s="16"/>
    </row>
    <row r="21">
      <c r="B21" s="15">
        <v>10.0</v>
      </c>
      <c r="C21" s="12" t="str">
        <f t="shared" si="4"/>
        <v>Y10 = (X10)*a =</v>
      </c>
      <c r="D21" s="12">
        <f t="shared" si="5"/>
        <v>36788840</v>
      </c>
      <c r="F21" s="17" t="str">
        <f t="shared" si="6"/>
        <v>X11 =</v>
      </c>
      <c r="G21" s="16" t="str">
        <f t="shared" si="1"/>
        <v>7888</v>
      </c>
      <c r="H21" s="12"/>
      <c r="I21" s="17" t="s">
        <v>23</v>
      </c>
      <c r="J21" s="18">
        <f t="shared" si="2"/>
        <v>0.7888</v>
      </c>
      <c r="K21" s="1">
        <f t="shared" si="3"/>
        <v>3</v>
      </c>
      <c r="L21" s="21">
        <v>0.691</v>
      </c>
      <c r="M21" s="21">
        <v>0.5095</v>
      </c>
      <c r="Y21" s="16"/>
    </row>
    <row r="22">
      <c r="B22" s="15">
        <v>11.0</v>
      </c>
      <c r="C22" s="12" t="str">
        <f t="shared" si="4"/>
        <v>Y11 = (X11)*a =</v>
      </c>
      <c r="D22" s="12">
        <f t="shared" si="5"/>
        <v>41995712</v>
      </c>
      <c r="F22" s="17" t="str">
        <f t="shared" si="6"/>
        <v>X12 =</v>
      </c>
      <c r="G22" s="16" t="str">
        <f t="shared" si="1"/>
        <v>9957</v>
      </c>
      <c r="H22" s="12"/>
      <c r="I22" s="17" t="s">
        <v>24</v>
      </c>
      <c r="J22" s="18">
        <f t="shared" si="2"/>
        <v>0.9957</v>
      </c>
      <c r="K22" s="1">
        <f t="shared" si="3"/>
        <v>7</v>
      </c>
      <c r="L22" s="22" t="s">
        <v>25</v>
      </c>
      <c r="Y22" s="16"/>
    </row>
    <row r="23">
      <c r="B23" s="15">
        <v>12.0</v>
      </c>
      <c r="C23" s="12" t="str">
        <f t="shared" si="4"/>
        <v>Y12 = (X12)*a =</v>
      </c>
      <c r="D23" s="12">
        <f t="shared" si="5"/>
        <v>53011068</v>
      </c>
      <c r="F23" s="17" t="str">
        <f t="shared" si="6"/>
        <v>X13 =</v>
      </c>
      <c r="G23" s="16" t="str">
        <f t="shared" si="1"/>
        <v>0110</v>
      </c>
      <c r="H23" s="12"/>
      <c r="I23" s="17" t="s">
        <v>26</v>
      </c>
      <c r="J23" s="18">
        <f t="shared" si="2"/>
        <v>0.011</v>
      </c>
      <c r="K23" s="1">
        <f t="shared" si="3"/>
        <v>0</v>
      </c>
      <c r="L23" s="22" t="s">
        <v>27</v>
      </c>
      <c r="Y23" s="16"/>
    </row>
    <row r="24">
      <c r="B24" s="15">
        <v>13.0</v>
      </c>
      <c r="C24" s="12" t="str">
        <f t="shared" si="4"/>
        <v>Y13 = (X13)*a =</v>
      </c>
      <c r="D24" s="12">
        <f t="shared" si="5"/>
        <v>585640</v>
      </c>
      <c r="F24" s="17" t="str">
        <f t="shared" si="6"/>
        <v>X14 =</v>
      </c>
      <c r="G24" s="16" t="str">
        <f t="shared" si="1"/>
        <v>5856</v>
      </c>
      <c r="H24" s="12"/>
      <c r="I24" s="17" t="s">
        <v>28</v>
      </c>
      <c r="J24" s="18">
        <f t="shared" si="2"/>
        <v>0.5856</v>
      </c>
      <c r="K24" s="1">
        <f t="shared" si="3"/>
        <v>2</v>
      </c>
      <c r="L24" s="22" t="s">
        <v>29</v>
      </c>
      <c r="Y24" s="16"/>
    </row>
    <row r="25">
      <c r="B25" s="15">
        <v>14.0</v>
      </c>
      <c r="C25" s="12" t="str">
        <f t="shared" si="4"/>
        <v>Y14 = (X14)*a =</v>
      </c>
      <c r="D25" s="12">
        <f t="shared" si="5"/>
        <v>31177344</v>
      </c>
      <c r="F25" s="17" t="str">
        <f t="shared" si="6"/>
        <v>X15 =</v>
      </c>
      <c r="G25" s="16" t="str">
        <f t="shared" si="1"/>
        <v>1773</v>
      </c>
      <c r="H25" s="12"/>
      <c r="I25" s="17" t="s">
        <v>30</v>
      </c>
      <c r="J25" s="18">
        <f t="shared" si="2"/>
        <v>0.1773</v>
      </c>
      <c r="K25" s="1">
        <f t="shared" si="3"/>
        <v>1</v>
      </c>
      <c r="L25" s="22" t="s">
        <v>31</v>
      </c>
      <c r="Y25" s="16"/>
    </row>
    <row r="26">
      <c r="B26" s="15">
        <v>15.0</v>
      </c>
      <c r="C26" s="12" t="str">
        <f t="shared" si="4"/>
        <v>Y15 = (X15)*a =</v>
      </c>
      <c r="D26" s="12">
        <f t="shared" si="5"/>
        <v>9439452</v>
      </c>
      <c r="F26" s="17" t="str">
        <f t="shared" si="6"/>
        <v>X16 =</v>
      </c>
      <c r="G26" s="16" t="str">
        <f t="shared" si="1"/>
        <v>4394</v>
      </c>
      <c r="H26" s="12"/>
      <c r="I26" s="17" t="s">
        <v>32</v>
      </c>
      <c r="J26" s="18">
        <f t="shared" si="2"/>
        <v>0.4394</v>
      </c>
      <c r="K26" s="1">
        <f t="shared" si="3"/>
        <v>2</v>
      </c>
      <c r="L26" s="22" t="s">
        <v>33</v>
      </c>
    </row>
    <row r="27">
      <c r="B27" s="15">
        <v>16.0</v>
      </c>
      <c r="C27" s="12" t="str">
        <f t="shared" si="4"/>
        <v>Y16 = (X16)*a =</v>
      </c>
      <c r="D27" s="12">
        <f t="shared" si="5"/>
        <v>23393656</v>
      </c>
      <c r="F27" s="17" t="str">
        <f t="shared" si="6"/>
        <v>X17 =</v>
      </c>
      <c r="G27" s="16" t="str">
        <f t="shared" si="1"/>
        <v>3936</v>
      </c>
      <c r="H27" s="12"/>
      <c r="I27" s="17" t="s">
        <v>34</v>
      </c>
      <c r="J27" s="18">
        <f t="shared" si="2"/>
        <v>0.3936</v>
      </c>
      <c r="K27" s="1">
        <f t="shared" si="3"/>
        <v>2</v>
      </c>
    </row>
    <row r="28">
      <c r="B28" s="15">
        <v>17.0</v>
      </c>
      <c r="C28" s="12" t="str">
        <f t="shared" si="4"/>
        <v>Y17 = (X17)*a =</v>
      </c>
      <c r="D28" s="12">
        <f t="shared" si="5"/>
        <v>20955264</v>
      </c>
      <c r="F28" s="17" t="str">
        <f t="shared" si="6"/>
        <v>X18 =</v>
      </c>
      <c r="G28" s="16" t="str">
        <f t="shared" si="1"/>
        <v>9552</v>
      </c>
      <c r="H28" s="12"/>
      <c r="I28" s="17" t="s">
        <v>35</v>
      </c>
      <c r="J28" s="18">
        <f t="shared" si="2"/>
        <v>0.9552</v>
      </c>
      <c r="K28" s="1">
        <f t="shared" si="3"/>
        <v>5</v>
      </c>
    </row>
    <row r="29">
      <c r="B29" s="15">
        <v>18.0</v>
      </c>
      <c r="C29" s="12" t="str">
        <f t="shared" si="4"/>
        <v>Y18 = (X18)*a =</v>
      </c>
      <c r="D29" s="12">
        <f t="shared" si="5"/>
        <v>50854848</v>
      </c>
      <c r="F29" s="17" t="str">
        <f t="shared" si="6"/>
        <v>X19 =</v>
      </c>
      <c r="G29" s="16" t="str">
        <f t="shared" si="1"/>
        <v>8548</v>
      </c>
      <c r="H29" s="12"/>
      <c r="I29" s="17" t="s">
        <v>36</v>
      </c>
      <c r="J29" s="18">
        <f t="shared" si="2"/>
        <v>0.8548</v>
      </c>
      <c r="K29" s="1">
        <f t="shared" si="3"/>
        <v>4</v>
      </c>
    </row>
    <row r="30">
      <c r="B30" s="15">
        <v>19.0</v>
      </c>
      <c r="C30" s="12" t="str">
        <f t="shared" si="4"/>
        <v>Y19 = (X19)*a =</v>
      </c>
      <c r="D30" s="12">
        <f t="shared" si="5"/>
        <v>45509552</v>
      </c>
      <c r="F30" s="17" t="str">
        <f t="shared" si="6"/>
        <v>X20 =</v>
      </c>
      <c r="G30" s="16" t="str">
        <f t="shared" si="1"/>
        <v>5095</v>
      </c>
      <c r="H30" s="12"/>
      <c r="I30" s="17" t="s">
        <v>37</v>
      </c>
      <c r="J30" s="18">
        <f t="shared" si="2"/>
        <v>0.5095</v>
      </c>
      <c r="K30" s="1">
        <f t="shared" si="3"/>
        <v>2</v>
      </c>
    </row>
    <row r="31">
      <c r="B31" s="15">
        <v>20.0</v>
      </c>
      <c r="C31" s="12" t="str">
        <f t="shared" si="4"/>
        <v>Y20 = (X20)*a =</v>
      </c>
      <c r="D31" s="12">
        <f t="shared" si="5"/>
        <v>27125780</v>
      </c>
      <c r="F31" s="17" t="str">
        <f t="shared" si="6"/>
        <v>X21 =</v>
      </c>
      <c r="G31" s="16" t="str">
        <f t="shared" si="1"/>
        <v>1257</v>
      </c>
      <c r="H31" s="12"/>
      <c r="I31" s="17" t="s">
        <v>38</v>
      </c>
      <c r="J31" s="18">
        <f t="shared" si="2"/>
        <v>0.1257</v>
      </c>
      <c r="K31" s="1">
        <f t="shared" si="3"/>
        <v>0</v>
      </c>
    </row>
    <row r="32">
      <c r="B32" s="15">
        <v>21.0</v>
      </c>
      <c r="C32" s="12" t="str">
        <f t="shared" si="4"/>
        <v>Y21 = (X21)*a =</v>
      </c>
      <c r="D32" s="12">
        <f t="shared" si="5"/>
        <v>6692268</v>
      </c>
      <c r="F32" s="17" t="str">
        <f t="shared" si="6"/>
        <v>X22 =</v>
      </c>
      <c r="G32" s="16" t="str">
        <f t="shared" si="1"/>
        <v>6922</v>
      </c>
      <c r="H32" s="12"/>
      <c r="I32" s="17" t="s">
        <v>39</v>
      </c>
      <c r="J32" s="18">
        <f t="shared" si="2"/>
        <v>0.6922</v>
      </c>
      <c r="K32" s="1">
        <f t="shared" si="3"/>
        <v>3</v>
      </c>
      <c r="L32" s="16"/>
    </row>
    <row r="33">
      <c r="B33" s="15">
        <v>22.0</v>
      </c>
      <c r="C33" s="12" t="str">
        <f t="shared" si="4"/>
        <v>Y22 = (X22)*a =</v>
      </c>
      <c r="D33" s="12">
        <f t="shared" si="5"/>
        <v>36852728</v>
      </c>
      <c r="F33" s="17" t="str">
        <f t="shared" si="6"/>
        <v>X23 =</v>
      </c>
      <c r="G33" s="16" t="str">
        <f t="shared" si="1"/>
        <v>8527</v>
      </c>
      <c r="H33" s="12"/>
      <c r="I33" s="17" t="s">
        <v>40</v>
      </c>
      <c r="J33" s="18">
        <f t="shared" si="2"/>
        <v>0.8527</v>
      </c>
      <c r="K33" s="1">
        <f t="shared" si="3"/>
        <v>4</v>
      </c>
    </row>
    <row r="34">
      <c r="B34" s="15">
        <v>23.0</v>
      </c>
      <c r="C34" s="12" t="str">
        <f t="shared" si="4"/>
        <v>Y23 = (X23)*a =</v>
      </c>
      <c r="D34" s="12">
        <f t="shared" si="5"/>
        <v>45397748</v>
      </c>
      <c r="F34" s="17" t="str">
        <f t="shared" si="6"/>
        <v>X24 =</v>
      </c>
      <c r="G34" s="16" t="str">
        <f t="shared" si="1"/>
        <v>3977</v>
      </c>
      <c r="H34" s="12"/>
      <c r="I34" s="17" t="s">
        <v>41</v>
      </c>
      <c r="J34" s="18">
        <f t="shared" si="2"/>
        <v>0.3977</v>
      </c>
      <c r="K34" s="1">
        <f t="shared" si="3"/>
        <v>2</v>
      </c>
    </row>
    <row r="35">
      <c r="B35" s="15">
        <v>24.0</v>
      </c>
      <c r="C35" s="12" t="str">
        <f t="shared" si="4"/>
        <v>Y24 = (X24)*a =</v>
      </c>
      <c r="D35" s="12">
        <f t="shared" si="5"/>
        <v>21173548</v>
      </c>
      <c r="F35" s="17" t="str">
        <f t="shared" si="6"/>
        <v>X25 =</v>
      </c>
      <c r="G35" s="16" t="str">
        <f t="shared" si="1"/>
        <v>1735</v>
      </c>
      <c r="H35" s="12"/>
      <c r="I35" s="17" t="s">
        <v>42</v>
      </c>
      <c r="J35" s="18">
        <f t="shared" si="2"/>
        <v>0.1735</v>
      </c>
      <c r="K35" s="1">
        <f t="shared" si="3"/>
        <v>1</v>
      </c>
    </row>
    <row r="36">
      <c r="B36" s="15">
        <v>25.0</v>
      </c>
      <c r="C36" s="12" t="str">
        <f t="shared" si="4"/>
        <v>Y25 = (X25)*a =</v>
      </c>
      <c r="D36" s="12">
        <f t="shared" si="5"/>
        <v>9237140</v>
      </c>
      <c r="F36" s="17" t="str">
        <f t="shared" si="6"/>
        <v>X26 =</v>
      </c>
      <c r="G36" s="16" t="str">
        <f t="shared" si="1"/>
        <v>2371</v>
      </c>
      <c r="H36" s="12"/>
      <c r="I36" s="17" t="s">
        <v>43</v>
      </c>
      <c r="J36" s="18">
        <f t="shared" si="2"/>
        <v>0.2371</v>
      </c>
      <c r="K36" s="1">
        <f t="shared" si="3"/>
        <v>1</v>
      </c>
    </row>
    <row r="37">
      <c r="B37" s="15">
        <v>26.0</v>
      </c>
      <c r="C37" s="12" t="str">
        <f t="shared" si="4"/>
        <v>Y26 = (X26)*a =</v>
      </c>
      <c r="D37" s="12">
        <f t="shared" si="5"/>
        <v>12623204</v>
      </c>
      <c r="F37" s="17" t="str">
        <f t="shared" si="6"/>
        <v>X27 =</v>
      </c>
      <c r="G37" s="16" t="str">
        <f t="shared" si="1"/>
        <v>6232</v>
      </c>
      <c r="H37" s="12"/>
      <c r="I37" s="17" t="s">
        <v>44</v>
      </c>
      <c r="J37" s="18">
        <f t="shared" si="2"/>
        <v>0.6232</v>
      </c>
      <c r="K37" s="1">
        <f t="shared" si="3"/>
        <v>2</v>
      </c>
    </row>
    <row r="38">
      <c r="B38" s="15">
        <v>27.0</v>
      </c>
      <c r="C38" s="12" t="str">
        <f t="shared" si="4"/>
        <v>Y27 = (X27)*a =</v>
      </c>
      <c r="D38" s="12">
        <f t="shared" si="5"/>
        <v>33179168</v>
      </c>
      <c r="F38" s="17" t="str">
        <f t="shared" si="6"/>
        <v>X28 =</v>
      </c>
      <c r="G38" s="16" t="str">
        <f t="shared" si="1"/>
        <v>1791</v>
      </c>
      <c r="H38" s="12"/>
      <c r="I38" s="17" t="s">
        <v>45</v>
      </c>
      <c r="J38" s="18">
        <f t="shared" si="2"/>
        <v>0.1791</v>
      </c>
      <c r="K38" s="1">
        <f t="shared" si="3"/>
        <v>1</v>
      </c>
    </row>
    <row r="39">
      <c r="B39" s="15">
        <v>28.0</v>
      </c>
      <c r="C39" s="12" t="str">
        <f t="shared" si="4"/>
        <v>Y28 = (X28)*a =</v>
      </c>
      <c r="D39" s="12">
        <f t="shared" si="5"/>
        <v>9535284</v>
      </c>
      <c r="F39" s="17" t="str">
        <f t="shared" si="6"/>
        <v>X29 =</v>
      </c>
      <c r="G39" s="16" t="str">
        <f t="shared" si="1"/>
        <v>5352</v>
      </c>
      <c r="H39" s="12"/>
      <c r="I39" s="17" t="s">
        <v>46</v>
      </c>
      <c r="J39" s="18">
        <f t="shared" si="2"/>
        <v>0.5352</v>
      </c>
      <c r="K39" s="1">
        <f t="shared" si="3"/>
        <v>2</v>
      </c>
    </row>
    <row r="40">
      <c r="B40" s="15">
        <v>29.0</v>
      </c>
      <c r="C40" s="12" t="str">
        <f t="shared" si="4"/>
        <v>Y29 = (X29)*a =</v>
      </c>
      <c r="D40" s="12">
        <f t="shared" si="5"/>
        <v>28494048</v>
      </c>
      <c r="F40" s="17" t="str">
        <f t="shared" si="6"/>
        <v>X30 =</v>
      </c>
      <c r="G40" s="16" t="str">
        <f t="shared" si="1"/>
        <v>4940</v>
      </c>
      <c r="H40" s="12"/>
      <c r="I40" s="17" t="s">
        <v>47</v>
      </c>
      <c r="J40" s="18">
        <f t="shared" si="2"/>
        <v>0.494</v>
      </c>
      <c r="K40" s="1">
        <f t="shared" si="3"/>
        <v>2</v>
      </c>
    </row>
    <row r="41">
      <c r="B41" s="15">
        <v>30.0</v>
      </c>
      <c r="C41" s="12" t="str">
        <f t="shared" si="4"/>
        <v>Y30 = (X30)*a =</v>
      </c>
      <c r="D41" s="12">
        <f t="shared" si="5"/>
        <v>26300560</v>
      </c>
      <c r="F41" s="17" t="str">
        <f t="shared" si="6"/>
        <v>X31 =</v>
      </c>
      <c r="G41" s="16" t="str">
        <f t="shared" si="1"/>
        <v>3005</v>
      </c>
      <c r="H41" s="12"/>
      <c r="I41" s="17" t="s">
        <v>48</v>
      </c>
      <c r="J41" s="18">
        <f t="shared" si="2"/>
        <v>0.3005</v>
      </c>
      <c r="K41" s="1">
        <f t="shared" si="3"/>
        <v>1</v>
      </c>
    </row>
    <row r="42">
      <c r="B42" s="15">
        <v>31.0</v>
      </c>
      <c r="C42" s="12" t="str">
        <f t="shared" si="4"/>
        <v>Y31 = (X31)*a =</v>
      </c>
      <c r="D42" s="12">
        <f t="shared" si="5"/>
        <v>15998620</v>
      </c>
      <c r="F42" s="17" t="str">
        <f t="shared" si="6"/>
        <v>X32 =</v>
      </c>
      <c r="G42" s="16" t="str">
        <f t="shared" si="1"/>
        <v>9986</v>
      </c>
      <c r="H42" s="12"/>
      <c r="I42" s="17" t="s">
        <v>49</v>
      </c>
      <c r="J42" s="18">
        <f t="shared" si="2"/>
        <v>0.9986</v>
      </c>
      <c r="K42" s="1">
        <f t="shared" si="3"/>
        <v>7</v>
      </c>
    </row>
    <row r="43">
      <c r="B43" s="15">
        <v>32.0</v>
      </c>
      <c r="C43" s="12" t="str">
        <f t="shared" si="4"/>
        <v>Y32 = (X32)*a =</v>
      </c>
      <c r="D43" s="12">
        <f t="shared" si="5"/>
        <v>53165464</v>
      </c>
      <c r="F43" s="17" t="str">
        <f t="shared" si="6"/>
        <v>X33 =</v>
      </c>
      <c r="G43" s="16" t="str">
        <f t="shared" si="1"/>
        <v>1654</v>
      </c>
      <c r="H43" s="12"/>
      <c r="I43" s="17" t="s">
        <v>50</v>
      </c>
      <c r="J43" s="18">
        <f t="shared" si="2"/>
        <v>0.1654</v>
      </c>
      <c r="K43" s="1">
        <f t="shared" si="3"/>
        <v>1</v>
      </c>
    </row>
    <row r="44">
      <c r="B44" s="15">
        <v>33.0</v>
      </c>
      <c r="C44" s="12" t="str">
        <f t="shared" si="4"/>
        <v>Y33 = (X33)*a =</v>
      </c>
      <c r="D44" s="12">
        <f t="shared" si="5"/>
        <v>8805896</v>
      </c>
      <c r="F44" s="17" t="str">
        <f t="shared" si="6"/>
        <v>X34 =</v>
      </c>
      <c r="G44" s="16" t="str">
        <f t="shared" si="1"/>
        <v>8058</v>
      </c>
      <c r="H44" s="12"/>
      <c r="I44" s="17" t="s">
        <v>51</v>
      </c>
      <c r="J44" s="18">
        <f t="shared" si="2"/>
        <v>0.8058</v>
      </c>
      <c r="K44" s="1">
        <f t="shared" si="3"/>
        <v>3</v>
      </c>
    </row>
    <row r="45">
      <c r="B45" s="15">
        <v>34.0</v>
      </c>
      <c r="C45" s="12" t="str">
        <f t="shared" si="4"/>
        <v>Y34 = (X34)*a =</v>
      </c>
      <c r="D45" s="12">
        <f t="shared" si="5"/>
        <v>42900792</v>
      </c>
      <c r="F45" s="17" t="str">
        <f t="shared" si="6"/>
        <v>X35 =</v>
      </c>
      <c r="G45" s="16" t="str">
        <f t="shared" si="1"/>
        <v>9007</v>
      </c>
      <c r="H45" s="12"/>
      <c r="I45" s="17" t="s">
        <v>52</v>
      </c>
      <c r="J45" s="18">
        <f t="shared" si="2"/>
        <v>0.9007</v>
      </c>
      <c r="K45" s="1">
        <f t="shared" si="3"/>
        <v>4</v>
      </c>
    </row>
    <row r="46">
      <c r="B46" s="15">
        <v>35.0</v>
      </c>
      <c r="C46" s="12" t="str">
        <f t="shared" si="4"/>
        <v>Y35 = (X35)*a =</v>
      </c>
      <c r="D46" s="12">
        <f t="shared" si="5"/>
        <v>47953268</v>
      </c>
      <c r="F46" s="17" t="str">
        <f t="shared" si="6"/>
        <v>X36 =</v>
      </c>
      <c r="G46" s="16" t="str">
        <f t="shared" si="1"/>
        <v>9532</v>
      </c>
      <c r="H46" s="12"/>
      <c r="I46" s="17" t="s">
        <v>53</v>
      </c>
      <c r="J46" s="18">
        <f t="shared" si="2"/>
        <v>0.9532</v>
      </c>
      <c r="K46" s="1">
        <f t="shared" si="3"/>
        <v>5</v>
      </c>
    </row>
    <row r="47">
      <c r="B47" s="15">
        <v>36.0</v>
      </c>
      <c r="C47" s="12" t="str">
        <f t="shared" si="4"/>
        <v>Y36 = (X36)*a =</v>
      </c>
      <c r="D47" s="12">
        <f t="shared" si="5"/>
        <v>50748368</v>
      </c>
      <c r="F47" s="17" t="str">
        <f t="shared" si="6"/>
        <v>X37 =</v>
      </c>
      <c r="G47" s="16" t="str">
        <f t="shared" si="1"/>
        <v>7483</v>
      </c>
      <c r="H47" s="12"/>
      <c r="I47" s="17" t="s">
        <v>54</v>
      </c>
      <c r="J47" s="18">
        <f t="shared" si="2"/>
        <v>0.7483</v>
      </c>
      <c r="K47" s="1">
        <f t="shared" si="3"/>
        <v>3</v>
      </c>
    </row>
    <row r="48">
      <c r="B48" s="15">
        <v>37.0</v>
      </c>
      <c r="C48" s="12" t="str">
        <f t="shared" si="4"/>
        <v>Y37 = (X37)*a =</v>
      </c>
      <c r="D48" s="12">
        <f t="shared" si="5"/>
        <v>39839492</v>
      </c>
      <c r="F48" s="17" t="str">
        <f t="shared" si="6"/>
        <v>X38 =</v>
      </c>
      <c r="G48" s="16" t="str">
        <f t="shared" si="1"/>
        <v>8394</v>
      </c>
      <c r="H48" s="12"/>
      <c r="I48" s="17" t="s">
        <v>55</v>
      </c>
      <c r="J48" s="18">
        <f t="shared" si="2"/>
        <v>0.8394</v>
      </c>
      <c r="K48" s="1">
        <f t="shared" si="3"/>
        <v>3</v>
      </c>
    </row>
    <row r="49">
      <c r="B49" s="15">
        <v>38.0</v>
      </c>
      <c r="C49" s="12" t="str">
        <f t="shared" si="4"/>
        <v>Y38 = (X38)*a =</v>
      </c>
      <c r="D49" s="12">
        <f t="shared" si="5"/>
        <v>44689656</v>
      </c>
      <c r="F49" s="17" t="str">
        <f t="shared" si="6"/>
        <v>X39 =</v>
      </c>
      <c r="G49" s="16" t="str">
        <f t="shared" si="1"/>
        <v>6896</v>
      </c>
      <c r="H49" s="12"/>
      <c r="I49" s="17" t="s">
        <v>56</v>
      </c>
      <c r="J49" s="18">
        <f t="shared" si="2"/>
        <v>0.6896</v>
      </c>
      <c r="K49" s="1">
        <f t="shared" si="3"/>
        <v>3</v>
      </c>
    </row>
    <row r="50">
      <c r="B50" s="15">
        <v>39.0</v>
      </c>
      <c r="C50" s="12" t="str">
        <f t="shared" si="4"/>
        <v>Y39 = (X39)*a =</v>
      </c>
      <c r="D50" s="12">
        <f t="shared" si="5"/>
        <v>36714304</v>
      </c>
      <c r="F50" s="17" t="str">
        <f t="shared" si="6"/>
        <v>X40 =</v>
      </c>
      <c r="G50" s="16" t="str">
        <f t="shared" si="1"/>
        <v>7143</v>
      </c>
      <c r="H50" s="12"/>
      <c r="I50" s="17" t="s">
        <v>57</v>
      </c>
      <c r="J50" s="18">
        <f t="shared" si="2"/>
        <v>0.7143</v>
      </c>
      <c r="K50" s="1">
        <f t="shared" si="3"/>
        <v>3</v>
      </c>
    </row>
    <row r="51">
      <c r="B51" s="15">
        <v>40.0</v>
      </c>
      <c r="C51" s="12" t="str">
        <f t="shared" si="4"/>
        <v>Y40 = (X40)*a =</v>
      </c>
      <c r="D51" s="12">
        <f t="shared" si="5"/>
        <v>38029332</v>
      </c>
      <c r="F51" s="17" t="str">
        <f t="shared" si="6"/>
        <v>X41 =</v>
      </c>
      <c r="G51" s="16" t="str">
        <f t="shared" si="1"/>
        <v>0293</v>
      </c>
      <c r="H51" s="12"/>
      <c r="I51" s="17" t="s">
        <v>58</v>
      </c>
      <c r="J51" s="18">
        <f t="shared" si="2"/>
        <v>0.0293</v>
      </c>
      <c r="K51" s="1">
        <f t="shared" si="3"/>
        <v>0</v>
      </c>
    </row>
    <row r="52">
      <c r="B52" s="15">
        <v>41.0</v>
      </c>
      <c r="C52" s="12" t="str">
        <f t="shared" si="4"/>
        <v>Y41 = (X41)*a =</v>
      </c>
      <c r="D52" s="12">
        <f t="shared" si="5"/>
        <v>1559932</v>
      </c>
      <c r="F52" s="17" t="str">
        <f t="shared" si="6"/>
        <v>X42 =</v>
      </c>
      <c r="G52" s="16" t="str">
        <f t="shared" si="1"/>
        <v>5599</v>
      </c>
      <c r="H52" s="12"/>
      <c r="I52" s="17" t="s">
        <v>59</v>
      </c>
      <c r="J52" s="18">
        <f t="shared" si="2"/>
        <v>0.5599</v>
      </c>
      <c r="K52" s="1">
        <f t="shared" si="3"/>
        <v>2</v>
      </c>
    </row>
    <row r="53">
      <c r="B53" s="15">
        <v>42.0</v>
      </c>
      <c r="C53" s="12" t="str">
        <f t="shared" si="4"/>
        <v>Y42 = (X42)*a =</v>
      </c>
      <c r="D53" s="12">
        <f t="shared" si="5"/>
        <v>29809076</v>
      </c>
      <c r="F53" s="17" t="str">
        <f t="shared" si="6"/>
        <v>X43 =</v>
      </c>
      <c r="G53" s="16" t="str">
        <f t="shared" si="1"/>
        <v>8090</v>
      </c>
      <c r="H53" s="12"/>
      <c r="I53" s="17" t="s">
        <v>60</v>
      </c>
      <c r="J53" s="18">
        <f t="shared" si="2"/>
        <v>0.809</v>
      </c>
      <c r="K53" s="1">
        <f t="shared" si="3"/>
        <v>3</v>
      </c>
    </row>
    <row r="54">
      <c r="B54" s="15">
        <v>43.0</v>
      </c>
      <c r="C54" s="12" t="str">
        <f t="shared" si="4"/>
        <v>Y43 = (X43)*a =</v>
      </c>
      <c r="D54" s="12">
        <f t="shared" si="5"/>
        <v>43071160</v>
      </c>
      <c r="F54" s="17" t="str">
        <f t="shared" si="6"/>
        <v>X44 =</v>
      </c>
      <c r="G54" s="16" t="str">
        <f t="shared" si="1"/>
        <v>0711</v>
      </c>
      <c r="H54" s="12"/>
      <c r="I54" s="17" t="s">
        <v>61</v>
      </c>
      <c r="J54" s="18">
        <f t="shared" si="2"/>
        <v>0.0711</v>
      </c>
      <c r="K54" s="1">
        <f t="shared" si="3"/>
        <v>0</v>
      </c>
    </row>
    <row r="55">
      <c r="B55" s="15">
        <v>44.0</v>
      </c>
      <c r="C55" s="12" t="str">
        <f t="shared" si="4"/>
        <v>Y44 = (X44)*a =</v>
      </c>
      <c r="D55" s="12">
        <f t="shared" si="5"/>
        <v>3785364</v>
      </c>
      <c r="F55" s="17" t="str">
        <f t="shared" si="6"/>
        <v>X45 =</v>
      </c>
      <c r="G55" s="16" t="str">
        <f t="shared" si="1"/>
        <v>7853</v>
      </c>
      <c r="H55" s="12"/>
      <c r="I55" s="17" t="s">
        <v>62</v>
      </c>
      <c r="J55" s="18">
        <f t="shared" si="2"/>
        <v>0.7853</v>
      </c>
      <c r="K55" s="1">
        <f t="shared" si="3"/>
        <v>3</v>
      </c>
    </row>
    <row r="56">
      <c r="B56" s="15">
        <v>45.0</v>
      </c>
      <c r="C56" s="12" t="str">
        <f t="shared" si="4"/>
        <v>Y45 = (X45)*a =</v>
      </c>
      <c r="D56" s="12">
        <f t="shared" si="5"/>
        <v>41809372</v>
      </c>
      <c r="F56" s="17" t="str">
        <f t="shared" si="6"/>
        <v>X46 =</v>
      </c>
      <c r="G56" s="16" t="str">
        <f t="shared" si="1"/>
        <v>8093</v>
      </c>
      <c r="H56" s="12"/>
      <c r="I56" s="17" t="s">
        <v>63</v>
      </c>
      <c r="J56" s="18">
        <f t="shared" si="2"/>
        <v>0.8093</v>
      </c>
      <c r="K56" s="1">
        <f t="shared" si="3"/>
        <v>3</v>
      </c>
    </row>
    <row r="57">
      <c r="B57" s="15">
        <v>46.0</v>
      </c>
      <c r="C57" s="12" t="str">
        <f t="shared" si="4"/>
        <v>Y46 = (X46)*a =</v>
      </c>
      <c r="D57" s="12">
        <f t="shared" si="5"/>
        <v>43087132</v>
      </c>
      <c r="F57" s="17" t="str">
        <f t="shared" si="6"/>
        <v>X47 =</v>
      </c>
      <c r="G57" s="16" t="str">
        <f t="shared" si="1"/>
        <v>0871</v>
      </c>
      <c r="H57" s="12"/>
      <c r="I57" s="17" t="s">
        <v>64</v>
      </c>
      <c r="J57" s="18">
        <f t="shared" si="2"/>
        <v>0.0871</v>
      </c>
      <c r="K57" s="1">
        <f t="shared" si="3"/>
        <v>0</v>
      </c>
    </row>
    <row r="58">
      <c r="B58" s="15">
        <v>47.0</v>
      </c>
      <c r="C58" s="12" t="str">
        <f t="shared" si="4"/>
        <v>Y47 = (X47)*a =</v>
      </c>
      <c r="D58" s="12">
        <f t="shared" si="5"/>
        <v>4637204</v>
      </c>
      <c r="F58" s="17" t="str">
        <f t="shared" si="6"/>
        <v>X48 =</v>
      </c>
      <c r="G58" s="16" t="str">
        <f t="shared" si="1"/>
        <v>6372</v>
      </c>
      <c r="H58" s="12"/>
      <c r="I58" s="17" t="s">
        <v>65</v>
      </c>
      <c r="J58" s="18">
        <f t="shared" si="2"/>
        <v>0.6372</v>
      </c>
      <c r="K58" s="1">
        <f t="shared" si="3"/>
        <v>2</v>
      </c>
    </row>
    <row r="59">
      <c r="B59" s="15">
        <v>48.0</v>
      </c>
      <c r="C59" s="12" t="str">
        <f t="shared" si="4"/>
        <v>Y48 = (X48)*a =</v>
      </c>
      <c r="D59" s="12">
        <f t="shared" si="5"/>
        <v>33924528</v>
      </c>
      <c r="F59" s="17" t="str">
        <f t="shared" si="6"/>
        <v>X49 =</v>
      </c>
      <c r="G59" s="16" t="str">
        <f t="shared" si="1"/>
        <v>9245</v>
      </c>
      <c r="H59" s="12"/>
      <c r="I59" s="17" t="s">
        <v>66</v>
      </c>
      <c r="J59" s="18">
        <f t="shared" si="2"/>
        <v>0.9245</v>
      </c>
      <c r="K59" s="1">
        <f t="shared" si="3"/>
        <v>4</v>
      </c>
    </row>
    <row r="60">
      <c r="B60" s="15">
        <v>49.0</v>
      </c>
      <c r="C60" s="12" t="str">
        <f t="shared" si="4"/>
        <v>Y49 = (X49)*a =</v>
      </c>
      <c r="D60" s="12">
        <f t="shared" si="5"/>
        <v>49220380</v>
      </c>
      <c r="F60" s="17" t="str">
        <f t="shared" si="6"/>
        <v>X50 =</v>
      </c>
      <c r="G60" s="16" t="str">
        <f t="shared" si="1"/>
        <v>2203</v>
      </c>
      <c r="H60" s="12"/>
      <c r="I60" s="17" t="s">
        <v>67</v>
      </c>
      <c r="J60" s="18">
        <f t="shared" si="2"/>
        <v>0.2203</v>
      </c>
      <c r="K60" s="1">
        <f t="shared" si="3"/>
        <v>1</v>
      </c>
    </row>
    <row r="61">
      <c r="B61" s="15">
        <v>50.0</v>
      </c>
      <c r="C61" s="12" t="str">
        <f t="shared" si="4"/>
        <v>Y50 = (X50)*a =</v>
      </c>
      <c r="D61" s="12">
        <f t="shared" si="5"/>
        <v>11728772</v>
      </c>
      <c r="F61" s="17" t="str">
        <f t="shared" si="6"/>
        <v>X51 =</v>
      </c>
      <c r="G61" s="16" t="str">
        <f t="shared" si="1"/>
        <v>7287</v>
      </c>
      <c r="H61" s="12"/>
      <c r="I61" s="17" t="s">
        <v>68</v>
      </c>
      <c r="J61" s="18">
        <f t="shared" si="2"/>
        <v>0.7287</v>
      </c>
      <c r="K61" s="1">
        <f t="shared" si="3"/>
        <v>3</v>
      </c>
    </row>
    <row r="62">
      <c r="B62" s="15">
        <v>51.0</v>
      </c>
      <c r="C62" s="12" t="str">
        <f t="shared" si="4"/>
        <v>Y51 = (X51)*a =</v>
      </c>
      <c r="D62" s="12">
        <f t="shared" si="5"/>
        <v>38795988</v>
      </c>
      <c r="F62" s="17" t="str">
        <f t="shared" si="6"/>
        <v>X52 =</v>
      </c>
      <c r="G62" s="16" t="str">
        <f t="shared" si="1"/>
        <v>7959</v>
      </c>
      <c r="H62" s="12"/>
      <c r="I62" s="17" t="s">
        <v>69</v>
      </c>
      <c r="J62" s="18">
        <f t="shared" si="2"/>
        <v>0.7959</v>
      </c>
      <c r="K62" s="1">
        <f t="shared" si="3"/>
        <v>3</v>
      </c>
    </row>
    <row r="63">
      <c r="B63" s="15">
        <v>52.0</v>
      </c>
      <c r="C63" s="12" t="str">
        <f t="shared" si="4"/>
        <v>Y52 = (X52)*a =</v>
      </c>
      <c r="D63" s="12">
        <f t="shared" si="5"/>
        <v>42373716</v>
      </c>
      <c r="F63" s="17" t="str">
        <f t="shared" si="6"/>
        <v>X53 =</v>
      </c>
      <c r="G63" s="16" t="str">
        <f t="shared" si="1"/>
        <v>3737</v>
      </c>
      <c r="H63" s="12"/>
      <c r="I63" s="17" t="s">
        <v>70</v>
      </c>
      <c r="J63" s="18">
        <f t="shared" si="2"/>
        <v>0.3737</v>
      </c>
      <c r="K63" s="1">
        <f t="shared" si="3"/>
        <v>1</v>
      </c>
    </row>
    <row r="64">
      <c r="B64" s="15">
        <v>53.0</v>
      </c>
      <c r="C64" s="12" t="str">
        <f t="shared" si="4"/>
        <v>Y53 = (X53)*a =</v>
      </c>
      <c r="D64" s="12">
        <f t="shared" si="5"/>
        <v>19895788</v>
      </c>
      <c r="F64" s="17" t="str">
        <f t="shared" si="6"/>
        <v>X54 =</v>
      </c>
      <c r="G64" s="16" t="str">
        <f t="shared" si="1"/>
        <v>8957</v>
      </c>
      <c r="H64" s="12"/>
      <c r="I64" s="17" t="s">
        <v>71</v>
      </c>
      <c r="J64" s="18">
        <f t="shared" si="2"/>
        <v>0.8957</v>
      </c>
      <c r="K64" s="1">
        <f t="shared" si="3"/>
        <v>4</v>
      </c>
    </row>
    <row r="65">
      <c r="B65" s="15">
        <v>54.0</v>
      </c>
      <c r="C65" s="12" t="str">
        <f t="shared" si="4"/>
        <v>Y54 = (X54)*a =</v>
      </c>
      <c r="D65" s="12">
        <f t="shared" si="5"/>
        <v>47687068</v>
      </c>
      <c r="F65" s="17" t="str">
        <f t="shared" si="6"/>
        <v>X55 =</v>
      </c>
      <c r="G65" s="16" t="str">
        <f t="shared" si="1"/>
        <v>6870</v>
      </c>
      <c r="H65" s="12"/>
      <c r="I65" s="17" t="s">
        <v>72</v>
      </c>
      <c r="J65" s="18">
        <f t="shared" si="2"/>
        <v>0.687</v>
      </c>
      <c r="K65" s="1">
        <f t="shared" si="3"/>
        <v>3</v>
      </c>
    </row>
    <row r="66">
      <c r="B66" s="15">
        <v>55.0</v>
      </c>
      <c r="C66" s="12" t="str">
        <f t="shared" si="4"/>
        <v>Y55 = (X55)*a =</v>
      </c>
      <c r="D66" s="12">
        <f t="shared" si="5"/>
        <v>36575880</v>
      </c>
      <c r="F66" s="17" t="str">
        <f t="shared" si="6"/>
        <v>X56 =</v>
      </c>
      <c r="G66" s="16" t="str">
        <f t="shared" si="1"/>
        <v>5758</v>
      </c>
      <c r="H66" s="12"/>
      <c r="I66" s="17" t="s">
        <v>73</v>
      </c>
      <c r="J66" s="18">
        <f t="shared" si="2"/>
        <v>0.5758</v>
      </c>
      <c r="K66" s="1">
        <f t="shared" si="3"/>
        <v>2</v>
      </c>
    </row>
    <row r="67">
      <c r="B67" s="15">
        <v>56.0</v>
      </c>
      <c r="C67" s="12" t="str">
        <f t="shared" si="4"/>
        <v>Y56 = (X56)*a =</v>
      </c>
      <c r="D67" s="12">
        <f t="shared" si="5"/>
        <v>30655592</v>
      </c>
      <c r="F67" s="17" t="str">
        <f t="shared" si="6"/>
        <v>X57 =</v>
      </c>
      <c r="G67" s="16" t="str">
        <f t="shared" si="1"/>
        <v>6555</v>
      </c>
      <c r="H67" s="12"/>
      <c r="I67" s="17" t="s">
        <v>74</v>
      </c>
      <c r="J67" s="18">
        <f t="shared" si="2"/>
        <v>0.6555</v>
      </c>
      <c r="K67" s="1">
        <f t="shared" si="3"/>
        <v>2</v>
      </c>
    </row>
    <row r="68">
      <c r="B68" s="15">
        <v>57.0</v>
      </c>
      <c r="C68" s="12" t="str">
        <f t="shared" si="4"/>
        <v>Y57 = (X57)*a =</v>
      </c>
      <c r="D68" s="12">
        <f t="shared" si="5"/>
        <v>34898820</v>
      </c>
      <c r="F68" s="17" t="str">
        <f t="shared" si="6"/>
        <v>X58 =</v>
      </c>
      <c r="G68" s="16" t="str">
        <f t="shared" si="1"/>
        <v>8988</v>
      </c>
      <c r="H68" s="12"/>
      <c r="I68" s="17" t="s">
        <v>75</v>
      </c>
      <c r="J68" s="18">
        <f t="shared" si="2"/>
        <v>0.8988</v>
      </c>
      <c r="K68" s="1">
        <f t="shared" si="3"/>
        <v>4</v>
      </c>
    </row>
    <row r="69">
      <c r="B69" s="15">
        <v>58.0</v>
      </c>
      <c r="C69" s="12" t="str">
        <f t="shared" si="4"/>
        <v>Y58 = (X58)*a =</v>
      </c>
      <c r="D69" s="12">
        <f t="shared" si="5"/>
        <v>47852112</v>
      </c>
      <c r="F69" s="17" t="str">
        <f t="shared" si="6"/>
        <v>X59 =</v>
      </c>
      <c r="G69" s="16" t="str">
        <f t="shared" si="1"/>
        <v>8521</v>
      </c>
      <c r="H69" s="12"/>
      <c r="I69" s="17" t="s">
        <v>76</v>
      </c>
      <c r="J69" s="18">
        <f t="shared" si="2"/>
        <v>0.8521</v>
      </c>
      <c r="K69" s="1">
        <f t="shared" si="3"/>
        <v>4</v>
      </c>
    </row>
    <row r="70">
      <c r="B70" s="15">
        <v>59.0</v>
      </c>
      <c r="C70" s="12" t="str">
        <f t="shared" si="4"/>
        <v>Y59 = (X59)*a =</v>
      </c>
      <c r="D70" s="12">
        <f t="shared" si="5"/>
        <v>45365804</v>
      </c>
      <c r="F70" s="17" t="str">
        <f t="shared" si="6"/>
        <v>X60 =</v>
      </c>
      <c r="G70" s="16" t="str">
        <f t="shared" si="1"/>
        <v>3658</v>
      </c>
      <c r="H70" s="12"/>
      <c r="I70" s="17" t="s">
        <v>77</v>
      </c>
      <c r="J70" s="18">
        <f t="shared" si="2"/>
        <v>0.3658</v>
      </c>
      <c r="K70" s="1">
        <f t="shared" si="3"/>
        <v>1</v>
      </c>
    </row>
    <row r="71">
      <c r="B71" s="15">
        <v>60.0</v>
      </c>
      <c r="C71" s="12" t="str">
        <f t="shared" si="4"/>
        <v>Y60 = (X60)*a =</v>
      </c>
      <c r="D71" s="12">
        <f t="shared" si="5"/>
        <v>19475192</v>
      </c>
      <c r="F71" s="17" t="str">
        <f t="shared" si="6"/>
        <v>X61 =</v>
      </c>
      <c r="G71" s="16" t="str">
        <f t="shared" si="1"/>
        <v>4751</v>
      </c>
      <c r="H71" s="12"/>
      <c r="I71" s="17" t="s">
        <v>78</v>
      </c>
      <c r="J71" s="18">
        <f t="shared" si="2"/>
        <v>0.4751</v>
      </c>
      <c r="K71" s="1">
        <f t="shared" si="3"/>
        <v>2</v>
      </c>
    </row>
    <row r="72">
      <c r="B72" s="15">
        <v>61.0</v>
      </c>
      <c r="C72" s="12" t="str">
        <f t="shared" si="4"/>
        <v>Y61 = (X61)*a =</v>
      </c>
      <c r="D72" s="12">
        <f t="shared" si="5"/>
        <v>25294324</v>
      </c>
      <c r="F72" s="17" t="str">
        <f t="shared" si="6"/>
        <v>X62 =</v>
      </c>
      <c r="G72" s="16" t="str">
        <f t="shared" si="1"/>
        <v>2943</v>
      </c>
      <c r="H72" s="12"/>
      <c r="I72" s="17" t="s">
        <v>79</v>
      </c>
      <c r="J72" s="18">
        <f t="shared" si="2"/>
        <v>0.2943</v>
      </c>
      <c r="K72" s="1">
        <f t="shared" si="3"/>
        <v>1</v>
      </c>
    </row>
    <row r="73">
      <c r="B73" s="15">
        <v>62.0</v>
      </c>
      <c r="C73" s="12" t="str">
        <f t="shared" si="4"/>
        <v>Y62 = (X62)*a =</v>
      </c>
      <c r="D73" s="12">
        <f t="shared" si="5"/>
        <v>15668532</v>
      </c>
      <c r="F73" s="17" t="str">
        <f t="shared" si="6"/>
        <v>X63 =</v>
      </c>
      <c r="G73" s="16" t="str">
        <f t="shared" si="1"/>
        <v>6685</v>
      </c>
      <c r="H73" s="12"/>
      <c r="I73" s="17" t="s">
        <v>80</v>
      </c>
      <c r="J73" s="18">
        <f t="shared" si="2"/>
        <v>0.6685</v>
      </c>
      <c r="K73" s="1">
        <f t="shared" si="3"/>
        <v>3</v>
      </c>
    </row>
    <row r="74">
      <c r="B74" s="15">
        <v>63.0</v>
      </c>
      <c r="C74" s="12" t="str">
        <f t="shared" si="4"/>
        <v>Y63 = (X63)*a =</v>
      </c>
      <c r="D74" s="12">
        <f t="shared" si="5"/>
        <v>35590940</v>
      </c>
      <c r="F74" s="17" t="str">
        <f t="shared" si="6"/>
        <v>X64 =</v>
      </c>
      <c r="G74" s="16" t="str">
        <f t="shared" si="1"/>
        <v>5909</v>
      </c>
      <c r="H74" s="12"/>
      <c r="I74" s="17" t="s">
        <v>81</v>
      </c>
      <c r="J74" s="18">
        <f t="shared" si="2"/>
        <v>0.5909</v>
      </c>
      <c r="K74" s="1">
        <f t="shared" si="3"/>
        <v>2</v>
      </c>
    </row>
    <row r="75">
      <c r="B75" s="15">
        <v>64.0</v>
      </c>
      <c r="C75" s="12" t="str">
        <f t="shared" si="4"/>
        <v>Y64 = (X64)*a =</v>
      </c>
      <c r="D75" s="12">
        <f t="shared" si="5"/>
        <v>31459516</v>
      </c>
      <c r="F75" s="17" t="str">
        <f t="shared" si="6"/>
        <v>X65 =</v>
      </c>
      <c r="G75" s="16" t="str">
        <f t="shared" si="1"/>
        <v>4595</v>
      </c>
      <c r="H75" s="12"/>
      <c r="I75" s="17" t="s">
        <v>82</v>
      </c>
      <c r="J75" s="18">
        <f t="shared" si="2"/>
        <v>0.4595</v>
      </c>
      <c r="K75" s="1">
        <f t="shared" si="3"/>
        <v>2</v>
      </c>
    </row>
    <row r="76">
      <c r="B76" s="15">
        <v>65.0</v>
      </c>
      <c r="C76" s="12" t="str">
        <f t="shared" si="4"/>
        <v>Y65 = (X65)*a =</v>
      </c>
      <c r="D76" s="12">
        <f t="shared" si="5"/>
        <v>24463780</v>
      </c>
      <c r="F76" s="17" t="str">
        <f t="shared" si="6"/>
        <v>X66 =</v>
      </c>
      <c r="G76" s="16" t="str">
        <f t="shared" si="1"/>
        <v>4637</v>
      </c>
      <c r="H76" s="12"/>
      <c r="I76" s="17" t="s">
        <v>83</v>
      </c>
      <c r="J76" s="18">
        <f t="shared" si="2"/>
        <v>0.4637</v>
      </c>
      <c r="K76" s="1">
        <f t="shared" si="3"/>
        <v>2</v>
      </c>
    </row>
    <row r="77">
      <c r="B77" s="15">
        <v>66.0</v>
      </c>
      <c r="C77" s="12" t="str">
        <f t="shared" si="4"/>
        <v>Y66 = (X66)*a =</v>
      </c>
      <c r="D77" s="12">
        <f t="shared" si="5"/>
        <v>24687388</v>
      </c>
      <c r="F77" s="17" t="str">
        <f t="shared" si="6"/>
        <v>X67 =</v>
      </c>
      <c r="G77" s="16" t="str">
        <f t="shared" si="1"/>
        <v>6873</v>
      </c>
      <c r="H77" s="12"/>
      <c r="I77" s="17" t="s">
        <v>84</v>
      </c>
      <c r="J77" s="18">
        <f t="shared" si="2"/>
        <v>0.6873</v>
      </c>
      <c r="K77" s="1">
        <f t="shared" si="3"/>
        <v>3</v>
      </c>
    </row>
    <row r="78">
      <c r="B78" s="15">
        <v>67.0</v>
      </c>
      <c r="C78" s="12" t="str">
        <f t="shared" si="4"/>
        <v>Y67 = (X67)*a =</v>
      </c>
      <c r="D78" s="12">
        <f t="shared" si="5"/>
        <v>36591852</v>
      </c>
      <c r="F78" s="17" t="str">
        <f t="shared" si="6"/>
        <v>X68 =</v>
      </c>
      <c r="G78" s="16" t="str">
        <f t="shared" si="1"/>
        <v>5918</v>
      </c>
      <c r="H78" s="12"/>
      <c r="I78" s="17" t="s">
        <v>85</v>
      </c>
      <c r="J78" s="18">
        <f t="shared" si="2"/>
        <v>0.5918</v>
      </c>
      <c r="K78" s="1">
        <f t="shared" si="3"/>
        <v>2</v>
      </c>
    </row>
    <row r="79">
      <c r="B79" s="15">
        <v>68.0</v>
      </c>
      <c r="C79" s="12" t="str">
        <f t="shared" si="4"/>
        <v>Y68 = (X68)*a =</v>
      </c>
      <c r="D79" s="12">
        <f t="shared" si="5"/>
        <v>31507432</v>
      </c>
      <c r="F79" s="17" t="str">
        <f t="shared" si="6"/>
        <v>X69 =</v>
      </c>
      <c r="G79" s="16" t="str">
        <f t="shared" si="1"/>
        <v>5074</v>
      </c>
      <c r="H79" s="12"/>
      <c r="I79" s="17" t="s">
        <v>86</v>
      </c>
      <c r="J79" s="18">
        <f t="shared" si="2"/>
        <v>0.5074</v>
      </c>
      <c r="K79" s="1">
        <f t="shared" si="3"/>
        <v>2</v>
      </c>
    </row>
    <row r="80">
      <c r="B80" s="15">
        <v>69.0</v>
      </c>
      <c r="C80" s="12" t="str">
        <f t="shared" si="4"/>
        <v>Y69 = (X69)*a =</v>
      </c>
      <c r="D80" s="12">
        <f t="shared" si="5"/>
        <v>27013976</v>
      </c>
      <c r="F80" s="17" t="str">
        <f t="shared" si="6"/>
        <v>X70 =</v>
      </c>
      <c r="G80" s="16" t="str">
        <f t="shared" si="1"/>
        <v>0139</v>
      </c>
      <c r="H80" s="12"/>
      <c r="I80" s="17" t="s">
        <v>87</v>
      </c>
      <c r="J80" s="18">
        <f t="shared" si="2"/>
        <v>0.0139</v>
      </c>
      <c r="K80" s="1">
        <f t="shared" si="3"/>
        <v>0</v>
      </c>
    </row>
    <row r="81">
      <c r="B81" s="15">
        <v>70.0</v>
      </c>
      <c r="C81" s="12" t="str">
        <f t="shared" si="4"/>
        <v>Y70 = (X70)*a =</v>
      </c>
      <c r="D81" s="12">
        <f t="shared" si="5"/>
        <v>740036</v>
      </c>
      <c r="F81" s="17" t="str">
        <f t="shared" si="6"/>
        <v>X71 =</v>
      </c>
      <c r="G81" s="16" t="str">
        <f t="shared" si="1"/>
        <v>7400</v>
      </c>
      <c r="H81" s="12"/>
      <c r="I81" s="17" t="s">
        <v>88</v>
      </c>
      <c r="J81" s="18">
        <f t="shared" si="2"/>
        <v>0.74</v>
      </c>
      <c r="K81" s="1">
        <f t="shared" si="3"/>
        <v>3</v>
      </c>
    </row>
    <row r="82">
      <c r="B82" s="15">
        <v>71.0</v>
      </c>
      <c r="C82" s="12" t="str">
        <f t="shared" si="4"/>
        <v>Y71 = (X71)*a =</v>
      </c>
      <c r="D82" s="12">
        <f t="shared" si="5"/>
        <v>39397600</v>
      </c>
      <c r="F82" s="17" t="str">
        <f t="shared" si="6"/>
        <v>X72 =</v>
      </c>
      <c r="G82" s="16" t="str">
        <f t="shared" si="1"/>
        <v>3976</v>
      </c>
      <c r="H82" s="12"/>
      <c r="I82" s="17" t="s">
        <v>89</v>
      </c>
      <c r="J82" s="18">
        <f t="shared" si="2"/>
        <v>0.3976</v>
      </c>
      <c r="K82" s="1">
        <f t="shared" si="3"/>
        <v>2</v>
      </c>
    </row>
    <row r="83">
      <c r="B83" s="15">
        <v>72.0</v>
      </c>
      <c r="C83" s="12" t="str">
        <f t="shared" si="4"/>
        <v>Y72 = (X72)*a =</v>
      </c>
      <c r="D83" s="12">
        <f t="shared" si="5"/>
        <v>21168224</v>
      </c>
      <c r="F83" s="17" t="str">
        <f t="shared" si="6"/>
        <v>X73 =</v>
      </c>
      <c r="G83" s="16" t="str">
        <f t="shared" si="1"/>
        <v>1682</v>
      </c>
      <c r="H83" s="12"/>
      <c r="I83" s="17" t="s">
        <v>90</v>
      </c>
      <c r="J83" s="18">
        <f t="shared" si="2"/>
        <v>0.1682</v>
      </c>
      <c r="K83" s="1">
        <f t="shared" si="3"/>
        <v>1</v>
      </c>
    </row>
    <row r="84">
      <c r="B84" s="15">
        <v>73.0</v>
      </c>
      <c r="C84" s="12" t="str">
        <f t="shared" si="4"/>
        <v>Y73 = (X73)*a =</v>
      </c>
      <c r="D84" s="12">
        <f t="shared" si="5"/>
        <v>8954968</v>
      </c>
      <c r="F84" s="17" t="str">
        <f t="shared" si="6"/>
        <v>X74 =</v>
      </c>
      <c r="G84" s="16" t="str">
        <f t="shared" si="1"/>
        <v>9549</v>
      </c>
      <c r="H84" s="12"/>
      <c r="I84" s="17" t="s">
        <v>91</v>
      </c>
      <c r="J84" s="18">
        <f t="shared" si="2"/>
        <v>0.9549</v>
      </c>
      <c r="K84" s="1">
        <f t="shared" si="3"/>
        <v>5</v>
      </c>
    </row>
    <row r="85">
      <c r="B85" s="15">
        <v>74.0</v>
      </c>
      <c r="C85" s="12" t="str">
        <f t="shared" si="4"/>
        <v>Y74 = (X74)*a =</v>
      </c>
      <c r="D85" s="12">
        <f t="shared" si="5"/>
        <v>50838876</v>
      </c>
      <c r="F85" s="17" t="str">
        <f t="shared" si="6"/>
        <v>X75 =</v>
      </c>
      <c r="G85" s="16" t="str">
        <f t="shared" si="1"/>
        <v>8388</v>
      </c>
      <c r="H85" s="12"/>
      <c r="I85" s="17" t="s">
        <v>92</v>
      </c>
      <c r="J85" s="18">
        <f t="shared" si="2"/>
        <v>0.8388</v>
      </c>
      <c r="K85" s="1">
        <f t="shared" si="3"/>
        <v>3</v>
      </c>
    </row>
    <row r="86">
      <c r="B86" s="15">
        <v>75.0</v>
      </c>
      <c r="C86" s="12" t="str">
        <f t="shared" si="4"/>
        <v>Y75 = (X75)*a =</v>
      </c>
      <c r="D86" s="12">
        <f t="shared" si="5"/>
        <v>44657712</v>
      </c>
      <c r="F86" s="17" t="str">
        <f t="shared" si="6"/>
        <v>X76 =</v>
      </c>
      <c r="G86" s="16" t="str">
        <f t="shared" si="1"/>
        <v>6577</v>
      </c>
      <c r="H86" s="12"/>
      <c r="I86" s="17" t="s">
        <v>93</v>
      </c>
      <c r="J86" s="18">
        <f t="shared" si="2"/>
        <v>0.6577</v>
      </c>
      <c r="K86" s="1">
        <f t="shared" si="3"/>
        <v>2</v>
      </c>
    </row>
    <row r="87">
      <c r="B87" s="15">
        <v>76.0</v>
      </c>
      <c r="C87" s="12" t="str">
        <f t="shared" si="4"/>
        <v>Y76 = (X76)*a =</v>
      </c>
      <c r="D87" s="12">
        <f t="shared" si="5"/>
        <v>35015948</v>
      </c>
      <c r="F87" s="17" t="str">
        <f t="shared" si="6"/>
        <v>X77 =</v>
      </c>
      <c r="G87" s="16" t="str">
        <f t="shared" si="1"/>
        <v>0159</v>
      </c>
      <c r="H87" s="12"/>
      <c r="I87" s="17" t="s">
        <v>94</v>
      </c>
      <c r="J87" s="18">
        <f t="shared" si="2"/>
        <v>0.0159</v>
      </c>
      <c r="K87" s="1">
        <f t="shared" si="3"/>
        <v>0</v>
      </c>
    </row>
    <row r="88">
      <c r="B88" s="15">
        <v>77.0</v>
      </c>
      <c r="C88" s="12" t="str">
        <f t="shared" si="4"/>
        <v>Y77 = (X77)*a =</v>
      </c>
      <c r="D88" s="12">
        <f t="shared" si="5"/>
        <v>846516</v>
      </c>
      <c r="F88" s="17" t="str">
        <f t="shared" si="6"/>
        <v>X78 =</v>
      </c>
      <c r="G88" s="16" t="str">
        <f t="shared" si="1"/>
        <v>8465</v>
      </c>
      <c r="H88" s="12"/>
      <c r="I88" s="17" t="s">
        <v>95</v>
      </c>
      <c r="J88" s="18">
        <f t="shared" si="2"/>
        <v>0.8465</v>
      </c>
      <c r="K88" s="1">
        <f t="shared" si="3"/>
        <v>3</v>
      </c>
    </row>
    <row r="89">
      <c r="B89" s="15">
        <v>78.0</v>
      </c>
      <c r="C89" s="12" t="str">
        <f t="shared" si="4"/>
        <v>Y78 = (X78)*a =</v>
      </c>
      <c r="D89" s="12">
        <f t="shared" si="5"/>
        <v>45067660</v>
      </c>
      <c r="F89" s="17" t="str">
        <f t="shared" si="6"/>
        <v>X79 =</v>
      </c>
      <c r="G89" s="16" t="str">
        <f t="shared" si="1"/>
        <v>0676</v>
      </c>
      <c r="H89" s="12"/>
      <c r="I89" s="17" t="s">
        <v>96</v>
      </c>
      <c r="J89" s="18">
        <f t="shared" si="2"/>
        <v>0.0676</v>
      </c>
      <c r="K89" s="1">
        <f t="shared" si="3"/>
        <v>0</v>
      </c>
    </row>
    <row r="90">
      <c r="B90" s="15">
        <v>79.0</v>
      </c>
      <c r="C90" s="12" t="str">
        <f t="shared" si="4"/>
        <v>Y79 = (X79)*a =</v>
      </c>
      <c r="D90" s="12">
        <f t="shared" si="5"/>
        <v>3599024</v>
      </c>
      <c r="F90" s="17" t="str">
        <f t="shared" si="6"/>
        <v>X80 =</v>
      </c>
      <c r="G90" s="16" t="str">
        <f t="shared" si="1"/>
        <v>5990</v>
      </c>
      <c r="H90" s="12"/>
      <c r="I90" s="17" t="s">
        <v>97</v>
      </c>
      <c r="J90" s="18">
        <f t="shared" si="2"/>
        <v>0.599</v>
      </c>
      <c r="K90" s="1">
        <f t="shared" si="3"/>
        <v>2</v>
      </c>
    </row>
    <row r="91">
      <c r="B91" s="15">
        <v>80.0</v>
      </c>
      <c r="C91" s="12" t="str">
        <f t="shared" si="4"/>
        <v>Y80 = (X80)*a =</v>
      </c>
      <c r="D91" s="12">
        <f t="shared" si="5"/>
        <v>31890760</v>
      </c>
      <c r="F91" s="17" t="str">
        <f t="shared" si="6"/>
        <v>X81 =</v>
      </c>
      <c r="G91" s="16" t="str">
        <f t="shared" si="1"/>
        <v>8907</v>
      </c>
      <c r="H91" s="12"/>
      <c r="I91" s="17" t="s">
        <v>98</v>
      </c>
      <c r="J91" s="18">
        <f t="shared" si="2"/>
        <v>0.8907</v>
      </c>
      <c r="K91" s="1">
        <f t="shared" si="3"/>
        <v>4</v>
      </c>
    </row>
    <row r="92">
      <c r="B92" s="15">
        <v>81.0</v>
      </c>
      <c r="C92" s="12" t="str">
        <f t="shared" si="4"/>
        <v>Y81 = (X81)*a =</v>
      </c>
      <c r="D92" s="12">
        <f t="shared" si="5"/>
        <v>47420868</v>
      </c>
      <c r="F92" s="17" t="str">
        <f t="shared" si="6"/>
        <v>X82 =</v>
      </c>
      <c r="G92" s="16" t="str">
        <f t="shared" si="1"/>
        <v>4208</v>
      </c>
      <c r="H92" s="12"/>
      <c r="I92" s="17" t="s">
        <v>99</v>
      </c>
      <c r="J92" s="18">
        <f t="shared" si="2"/>
        <v>0.4208</v>
      </c>
      <c r="K92" s="1">
        <f t="shared" si="3"/>
        <v>2</v>
      </c>
    </row>
    <row r="93">
      <c r="B93" s="15">
        <v>82.0</v>
      </c>
      <c r="C93" s="12" t="str">
        <f t="shared" si="4"/>
        <v>Y82 = (X82)*a =</v>
      </c>
      <c r="D93" s="12">
        <f t="shared" si="5"/>
        <v>22403392</v>
      </c>
      <c r="F93" s="17" t="str">
        <f t="shared" si="6"/>
        <v>X83 =</v>
      </c>
      <c r="G93" s="16" t="str">
        <f t="shared" si="1"/>
        <v>4033</v>
      </c>
      <c r="H93" s="12"/>
      <c r="I93" s="17" t="s">
        <v>100</v>
      </c>
      <c r="J93" s="18">
        <f t="shared" si="2"/>
        <v>0.4033</v>
      </c>
      <c r="K93" s="1">
        <f t="shared" si="3"/>
        <v>2</v>
      </c>
    </row>
    <row r="94">
      <c r="B94" s="15">
        <v>83.0</v>
      </c>
      <c r="C94" s="12" t="str">
        <f t="shared" si="4"/>
        <v>Y83 = (X83)*a =</v>
      </c>
      <c r="D94" s="12">
        <f t="shared" si="5"/>
        <v>21471692</v>
      </c>
      <c r="F94" s="17" t="str">
        <f t="shared" si="6"/>
        <v>X84 =</v>
      </c>
      <c r="G94" s="16" t="str">
        <f t="shared" si="1"/>
        <v>4716</v>
      </c>
      <c r="H94" s="12"/>
      <c r="I94" s="17" t="s">
        <v>101</v>
      </c>
      <c r="J94" s="18">
        <f t="shared" si="2"/>
        <v>0.4716</v>
      </c>
      <c r="K94" s="1">
        <f t="shared" si="3"/>
        <v>2</v>
      </c>
    </row>
    <row r="95">
      <c r="B95" s="15">
        <v>84.0</v>
      </c>
      <c r="C95" s="12" t="str">
        <f t="shared" si="4"/>
        <v>Y84 = (X84)*a =</v>
      </c>
      <c r="D95" s="12">
        <f t="shared" si="5"/>
        <v>25107984</v>
      </c>
      <c r="F95" s="17" t="str">
        <f t="shared" si="6"/>
        <v>X85 =</v>
      </c>
      <c r="G95" s="16" t="str">
        <f t="shared" si="1"/>
        <v>1079</v>
      </c>
      <c r="H95" s="12"/>
      <c r="I95" s="17" t="s">
        <v>102</v>
      </c>
      <c r="J95" s="18">
        <f t="shared" si="2"/>
        <v>0.1079</v>
      </c>
      <c r="K95" s="1">
        <f t="shared" si="3"/>
        <v>0</v>
      </c>
    </row>
    <row r="96">
      <c r="B96" s="15">
        <v>85.0</v>
      </c>
      <c r="C96" s="12" t="str">
        <f t="shared" si="4"/>
        <v>Y85 = (X85)*a =</v>
      </c>
      <c r="D96" s="12">
        <f t="shared" si="5"/>
        <v>5744596</v>
      </c>
      <c r="F96" s="17" t="str">
        <f t="shared" si="6"/>
        <v>X86 =</v>
      </c>
      <c r="G96" s="16" t="str">
        <f t="shared" si="1"/>
        <v>7445</v>
      </c>
      <c r="H96" s="12"/>
      <c r="I96" s="17" t="s">
        <v>103</v>
      </c>
      <c r="J96" s="18">
        <f t="shared" si="2"/>
        <v>0.7445</v>
      </c>
      <c r="K96" s="1">
        <f t="shared" si="3"/>
        <v>3</v>
      </c>
    </row>
    <row r="97">
      <c r="B97" s="15">
        <v>86.0</v>
      </c>
      <c r="C97" s="12" t="str">
        <f t="shared" si="4"/>
        <v>Y86 = (X86)*a =</v>
      </c>
      <c r="D97" s="12">
        <f t="shared" si="5"/>
        <v>39637180</v>
      </c>
      <c r="F97" s="17" t="str">
        <f t="shared" si="6"/>
        <v>X87 =</v>
      </c>
      <c r="G97" s="16" t="str">
        <f t="shared" si="1"/>
        <v>6371</v>
      </c>
      <c r="H97" s="12"/>
      <c r="I97" s="17" t="s">
        <v>104</v>
      </c>
      <c r="J97" s="18">
        <f t="shared" si="2"/>
        <v>0.6371</v>
      </c>
      <c r="K97" s="1">
        <f t="shared" si="3"/>
        <v>2</v>
      </c>
    </row>
    <row r="98">
      <c r="B98" s="15">
        <v>87.0</v>
      </c>
      <c r="C98" s="12" t="str">
        <f t="shared" si="4"/>
        <v>Y87 = (X87)*a =</v>
      </c>
      <c r="D98" s="12">
        <f t="shared" si="5"/>
        <v>33919204</v>
      </c>
      <c r="F98" s="17" t="str">
        <f t="shared" si="6"/>
        <v>X88 =</v>
      </c>
      <c r="G98" s="16" t="str">
        <f t="shared" si="1"/>
        <v>9192</v>
      </c>
      <c r="H98" s="12"/>
      <c r="I98" s="17" t="s">
        <v>105</v>
      </c>
      <c r="J98" s="18">
        <f t="shared" si="2"/>
        <v>0.9192</v>
      </c>
      <c r="K98" s="1">
        <f t="shared" si="3"/>
        <v>4</v>
      </c>
    </row>
    <row r="99">
      <c r="B99" s="15">
        <v>88.0</v>
      </c>
      <c r="C99" s="12" t="str">
        <f t="shared" si="4"/>
        <v>Y88 = (X88)*a =</v>
      </c>
      <c r="D99" s="12">
        <f t="shared" si="5"/>
        <v>48938208</v>
      </c>
      <c r="F99" s="17" t="str">
        <f t="shared" si="6"/>
        <v>X89 =</v>
      </c>
      <c r="G99" s="16" t="str">
        <f t="shared" si="1"/>
        <v>9382</v>
      </c>
      <c r="H99" s="12"/>
      <c r="I99" s="17" t="s">
        <v>106</v>
      </c>
      <c r="J99" s="18">
        <f t="shared" si="2"/>
        <v>0.9382</v>
      </c>
      <c r="K99" s="1">
        <f t="shared" si="3"/>
        <v>4</v>
      </c>
    </row>
    <row r="100">
      <c r="B100" s="15">
        <v>89.0</v>
      </c>
      <c r="C100" s="12" t="str">
        <f t="shared" si="4"/>
        <v>Y89 = (X89)*a =</v>
      </c>
      <c r="D100" s="12">
        <f t="shared" si="5"/>
        <v>49949768</v>
      </c>
      <c r="F100" s="17" t="str">
        <f t="shared" si="6"/>
        <v>X90 =</v>
      </c>
      <c r="G100" s="16" t="str">
        <f t="shared" si="1"/>
        <v>9497</v>
      </c>
      <c r="H100" s="12"/>
      <c r="I100" s="17" t="s">
        <v>107</v>
      </c>
      <c r="J100" s="18">
        <f t="shared" si="2"/>
        <v>0.9497</v>
      </c>
      <c r="K100" s="1">
        <f t="shared" si="3"/>
        <v>5</v>
      </c>
    </row>
    <row r="101">
      <c r="B101" s="15">
        <v>90.0</v>
      </c>
      <c r="C101" s="12" t="str">
        <f t="shared" si="4"/>
        <v>Y90 = (X90)*a =</v>
      </c>
      <c r="D101" s="12">
        <f t="shared" si="5"/>
        <v>50562028</v>
      </c>
      <c r="F101" s="17" t="str">
        <f t="shared" si="6"/>
        <v>X91 =</v>
      </c>
      <c r="G101" s="16" t="str">
        <f t="shared" si="1"/>
        <v>5620</v>
      </c>
      <c r="H101" s="12"/>
      <c r="I101" s="17" t="s">
        <v>108</v>
      </c>
      <c r="J101" s="18">
        <f t="shared" si="2"/>
        <v>0.562</v>
      </c>
      <c r="K101" s="1">
        <f t="shared" si="3"/>
        <v>2</v>
      </c>
    </row>
    <row r="102">
      <c r="B102" s="15">
        <v>91.0</v>
      </c>
      <c r="C102" s="12" t="str">
        <f t="shared" si="4"/>
        <v>Y91 = (X91)*a =</v>
      </c>
      <c r="D102" s="12">
        <f t="shared" si="5"/>
        <v>29920880</v>
      </c>
      <c r="F102" s="17" t="str">
        <f t="shared" si="6"/>
        <v>X92 =</v>
      </c>
      <c r="G102" s="16" t="str">
        <f t="shared" si="1"/>
        <v>9208</v>
      </c>
      <c r="H102" s="12"/>
      <c r="I102" s="17" t="s">
        <v>109</v>
      </c>
      <c r="J102" s="18">
        <f t="shared" si="2"/>
        <v>0.9208</v>
      </c>
      <c r="K102" s="1">
        <f t="shared" si="3"/>
        <v>4</v>
      </c>
    </row>
    <row r="103">
      <c r="B103" s="15">
        <v>92.0</v>
      </c>
      <c r="C103" s="12" t="str">
        <f t="shared" si="4"/>
        <v>Y92 = (X92)*a =</v>
      </c>
      <c r="D103" s="12">
        <f t="shared" si="5"/>
        <v>49023392</v>
      </c>
      <c r="F103" s="17" t="str">
        <f t="shared" si="6"/>
        <v>X93 =</v>
      </c>
      <c r="G103" s="16" t="str">
        <f t="shared" si="1"/>
        <v>0233</v>
      </c>
      <c r="H103" s="12"/>
      <c r="I103" s="17" t="s">
        <v>110</v>
      </c>
      <c r="J103" s="18">
        <f t="shared" si="2"/>
        <v>0.0233</v>
      </c>
      <c r="K103" s="1">
        <f t="shared" si="3"/>
        <v>0</v>
      </c>
    </row>
    <row r="104">
      <c r="B104" s="15">
        <v>93.0</v>
      </c>
      <c r="C104" s="12" t="str">
        <f t="shared" si="4"/>
        <v>Y93 = (X93)*a =</v>
      </c>
      <c r="D104" s="12">
        <f t="shared" si="5"/>
        <v>1240492</v>
      </c>
      <c r="F104" s="17" t="str">
        <f t="shared" si="6"/>
        <v>X94 =</v>
      </c>
      <c r="G104" s="16" t="str">
        <f t="shared" si="1"/>
        <v>2404</v>
      </c>
      <c r="H104" s="12"/>
      <c r="I104" s="17" t="s">
        <v>111</v>
      </c>
      <c r="J104" s="18">
        <f t="shared" si="2"/>
        <v>0.2404</v>
      </c>
      <c r="K104" s="1">
        <f t="shared" si="3"/>
        <v>1</v>
      </c>
    </row>
    <row r="105">
      <c r="B105" s="15">
        <v>94.0</v>
      </c>
      <c r="C105" s="12" t="str">
        <f t="shared" si="4"/>
        <v>Y94 = (X94)*a =</v>
      </c>
      <c r="D105" s="12">
        <f t="shared" si="5"/>
        <v>12798896</v>
      </c>
      <c r="F105" s="17" t="str">
        <f t="shared" si="6"/>
        <v>X95 =</v>
      </c>
      <c r="G105" s="16" t="str">
        <f t="shared" si="1"/>
        <v>7988</v>
      </c>
      <c r="H105" s="12"/>
      <c r="I105" s="17" t="s">
        <v>112</v>
      </c>
      <c r="J105" s="18">
        <f t="shared" si="2"/>
        <v>0.7988</v>
      </c>
      <c r="K105" s="1">
        <f t="shared" si="3"/>
        <v>3</v>
      </c>
    </row>
    <row r="106">
      <c r="B106" s="15">
        <v>95.0</v>
      </c>
      <c r="C106" s="12" t="str">
        <f t="shared" si="4"/>
        <v>Y95 = (X95)*a =</v>
      </c>
      <c r="D106" s="12">
        <f t="shared" si="5"/>
        <v>42528112</v>
      </c>
      <c r="F106" s="17" t="str">
        <f t="shared" si="6"/>
        <v>X96 =</v>
      </c>
      <c r="G106" s="16" t="str">
        <f t="shared" si="1"/>
        <v>5281</v>
      </c>
      <c r="H106" s="12"/>
      <c r="I106" s="17" t="s">
        <v>113</v>
      </c>
      <c r="J106" s="18">
        <f t="shared" si="2"/>
        <v>0.5281</v>
      </c>
      <c r="K106" s="1">
        <f t="shared" si="3"/>
        <v>2</v>
      </c>
    </row>
    <row r="107">
      <c r="B107" s="15">
        <v>96.0</v>
      </c>
      <c r="C107" s="12" t="str">
        <f t="shared" si="4"/>
        <v>Y96 = (X96)*a =</v>
      </c>
      <c r="D107" s="12">
        <f t="shared" si="5"/>
        <v>28116044</v>
      </c>
      <c r="F107" s="17" t="str">
        <f t="shared" si="6"/>
        <v>X97 =</v>
      </c>
      <c r="G107" s="16" t="str">
        <f t="shared" si="1"/>
        <v>1160</v>
      </c>
      <c r="H107" s="12"/>
      <c r="I107" s="17" t="s">
        <v>114</v>
      </c>
      <c r="J107" s="18">
        <f t="shared" si="2"/>
        <v>0.116</v>
      </c>
      <c r="K107" s="1">
        <f t="shared" si="3"/>
        <v>0</v>
      </c>
    </row>
    <row r="108">
      <c r="B108" s="15">
        <v>97.0</v>
      </c>
      <c r="C108" s="12" t="str">
        <f t="shared" si="4"/>
        <v>Y97 = (X97)*a =</v>
      </c>
      <c r="D108" s="12">
        <f t="shared" si="5"/>
        <v>6175840</v>
      </c>
      <c r="F108" s="17" t="str">
        <f t="shared" si="6"/>
        <v>X98 =</v>
      </c>
      <c r="G108" s="16" t="str">
        <f t="shared" si="1"/>
        <v>1758</v>
      </c>
      <c r="H108" s="12"/>
      <c r="I108" s="17" t="s">
        <v>115</v>
      </c>
      <c r="J108" s="18">
        <f t="shared" si="2"/>
        <v>0.1758</v>
      </c>
      <c r="K108" s="1">
        <f t="shared" si="3"/>
        <v>1</v>
      </c>
    </row>
    <row r="109">
      <c r="B109" s="15">
        <v>98.0</v>
      </c>
      <c r="C109" s="12" t="str">
        <f t="shared" si="4"/>
        <v>Y98 = (X98)*a =</v>
      </c>
      <c r="D109" s="12">
        <f t="shared" si="5"/>
        <v>9359592</v>
      </c>
      <c r="F109" s="17" t="str">
        <f t="shared" si="6"/>
        <v>X99 =</v>
      </c>
      <c r="G109" s="16" t="str">
        <f t="shared" si="1"/>
        <v>3595</v>
      </c>
      <c r="H109" s="12"/>
      <c r="I109" s="17" t="s">
        <v>116</v>
      </c>
      <c r="J109" s="18">
        <f t="shared" si="2"/>
        <v>0.3595</v>
      </c>
      <c r="K109" s="1">
        <f t="shared" si="3"/>
        <v>1</v>
      </c>
    </row>
    <row r="110">
      <c r="B110" s="15">
        <v>99.0</v>
      </c>
      <c r="C110" s="12" t="str">
        <f t="shared" si="4"/>
        <v>Y99 = (X99)*a =</v>
      </c>
      <c r="D110" s="12">
        <f t="shared" si="5"/>
        <v>19139780</v>
      </c>
      <c r="F110" s="17" t="str">
        <f t="shared" si="6"/>
        <v>X100 =</v>
      </c>
      <c r="G110" s="16" t="str">
        <f t="shared" si="1"/>
        <v>1397</v>
      </c>
      <c r="H110" s="12"/>
      <c r="I110" s="17" t="s">
        <v>117</v>
      </c>
      <c r="J110" s="18">
        <f t="shared" si="2"/>
        <v>0.1397</v>
      </c>
      <c r="K110" s="1">
        <f t="shared" si="3"/>
        <v>1</v>
      </c>
    </row>
    <row r="111">
      <c r="K111" s="1"/>
    </row>
    <row r="112">
      <c r="K112" s="1"/>
    </row>
    <row r="113">
      <c r="K113" s="1"/>
    </row>
    <row r="114">
      <c r="K114" s="1"/>
    </row>
    <row r="115">
      <c r="K115" s="1"/>
    </row>
    <row r="116">
      <c r="K116" s="1"/>
    </row>
    <row r="117">
      <c r="K117" s="1"/>
    </row>
    <row r="118">
      <c r="K118" s="1"/>
    </row>
    <row r="119">
      <c r="K119" s="1"/>
    </row>
    <row r="120">
      <c r="K120" s="1"/>
    </row>
    <row r="121">
      <c r="K121" s="1"/>
    </row>
    <row r="122">
      <c r="K122" s="1"/>
    </row>
    <row r="123">
      <c r="K123" s="1"/>
    </row>
    <row r="124">
      <c r="K124" s="1"/>
    </row>
    <row r="125">
      <c r="K125" s="1"/>
    </row>
    <row r="126">
      <c r="K126" s="1"/>
    </row>
    <row r="127">
      <c r="K127" s="1"/>
    </row>
    <row r="128">
      <c r="K128" s="1"/>
    </row>
    <row r="129">
      <c r="K129" s="1"/>
    </row>
    <row r="130">
      <c r="K130" s="1"/>
    </row>
    <row r="131">
      <c r="K131" s="1"/>
    </row>
    <row r="132">
      <c r="K132" s="1"/>
    </row>
    <row r="133">
      <c r="K133" s="1"/>
    </row>
    <row r="134">
      <c r="K134" s="1"/>
    </row>
    <row r="135">
      <c r="K135" s="1"/>
    </row>
    <row r="136">
      <c r="K136" s="1"/>
    </row>
    <row r="137">
      <c r="K137" s="1"/>
    </row>
    <row r="138">
      <c r="K138" s="1"/>
    </row>
    <row r="139">
      <c r="K139" s="1"/>
    </row>
    <row r="140">
      <c r="K140" s="1"/>
    </row>
    <row r="141">
      <c r="K141" s="1"/>
    </row>
    <row r="142">
      <c r="K142" s="1"/>
    </row>
    <row r="143">
      <c r="K143" s="1"/>
    </row>
    <row r="144">
      <c r="K144" s="1"/>
    </row>
    <row r="145">
      <c r="K145" s="1"/>
    </row>
    <row r="146">
      <c r="K146" s="1"/>
    </row>
    <row r="147">
      <c r="K147" s="1"/>
    </row>
    <row r="148">
      <c r="K148" s="1"/>
    </row>
    <row r="149">
      <c r="K149" s="1"/>
    </row>
    <row r="150">
      <c r="K150" s="1"/>
    </row>
    <row r="151">
      <c r="K151" s="1"/>
    </row>
    <row r="152">
      <c r="K152" s="1"/>
    </row>
    <row r="153">
      <c r="K153" s="1"/>
    </row>
    <row r="154">
      <c r="K154" s="1"/>
    </row>
    <row r="155">
      <c r="K155" s="1"/>
    </row>
    <row r="156">
      <c r="K156" s="1"/>
    </row>
    <row r="157">
      <c r="K157" s="1"/>
    </row>
    <row r="158">
      <c r="K158" s="1"/>
    </row>
    <row r="159">
      <c r="K159" s="1"/>
    </row>
    <row r="160">
      <c r="K160" s="1"/>
    </row>
    <row r="161">
      <c r="K161" s="1"/>
    </row>
    <row r="162">
      <c r="K162" s="1"/>
    </row>
    <row r="163">
      <c r="K163" s="1"/>
    </row>
    <row r="164">
      <c r="K164" s="1"/>
    </row>
    <row r="165">
      <c r="K165" s="1"/>
    </row>
    <row r="166">
      <c r="K166" s="1"/>
    </row>
    <row r="167">
      <c r="K167" s="1"/>
    </row>
    <row r="168">
      <c r="K168" s="1"/>
    </row>
    <row r="169">
      <c r="K169" s="1"/>
    </row>
    <row r="170">
      <c r="K170" s="1"/>
    </row>
    <row r="171">
      <c r="K171" s="1"/>
    </row>
    <row r="172">
      <c r="K172" s="1"/>
    </row>
    <row r="173">
      <c r="K173" s="1"/>
    </row>
    <row r="174">
      <c r="K174" s="1"/>
    </row>
    <row r="175">
      <c r="K175" s="1"/>
    </row>
    <row r="176">
      <c r="K176" s="1"/>
    </row>
    <row r="177">
      <c r="K177" s="1"/>
    </row>
    <row r="178">
      <c r="K178" s="1"/>
    </row>
    <row r="179">
      <c r="K179" s="1"/>
    </row>
    <row r="180">
      <c r="K180" s="1"/>
    </row>
    <row r="181">
      <c r="K181" s="1"/>
    </row>
    <row r="182">
      <c r="K182" s="1"/>
    </row>
    <row r="183">
      <c r="K183" s="1"/>
    </row>
    <row r="184">
      <c r="K184" s="1"/>
    </row>
    <row r="185">
      <c r="K185" s="1"/>
    </row>
    <row r="186">
      <c r="K186" s="1"/>
    </row>
    <row r="187">
      <c r="K187" s="1"/>
    </row>
    <row r="188">
      <c r="K188" s="1"/>
    </row>
    <row r="189">
      <c r="K189" s="1"/>
    </row>
    <row r="190">
      <c r="K190" s="1"/>
    </row>
    <row r="191">
      <c r="K191" s="1"/>
    </row>
    <row r="192">
      <c r="K192" s="1"/>
    </row>
    <row r="193">
      <c r="K193" s="1"/>
    </row>
    <row r="194">
      <c r="K194" s="1"/>
    </row>
    <row r="195">
      <c r="K195" s="1"/>
    </row>
    <row r="196">
      <c r="K196" s="1"/>
    </row>
    <row r="197">
      <c r="K197" s="1"/>
    </row>
    <row r="198">
      <c r="K198" s="1"/>
    </row>
    <row r="199">
      <c r="K199" s="1"/>
    </row>
    <row r="200">
      <c r="K200" s="1"/>
    </row>
    <row r="201">
      <c r="K201" s="1"/>
    </row>
    <row r="202">
      <c r="K202" s="1"/>
    </row>
    <row r="203">
      <c r="K203" s="1"/>
    </row>
    <row r="204">
      <c r="K204" s="1"/>
    </row>
    <row r="205">
      <c r="K205" s="1"/>
    </row>
    <row r="206">
      <c r="K206" s="1"/>
    </row>
    <row r="207">
      <c r="K207" s="1"/>
    </row>
    <row r="208">
      <c r="K208" s="1"/>
    </row>
    <row r="209">
      <c r="K209" s="1"/>
    </row>
    <row r="210">
      <c r="K210" s="1"/>
    </row>
    <row r="211">
      <c r="K211" s="1"/>
    </row>
    <row r="212">
      <c r="K212" s="1"/>
    </row>
    <row r="213">
      <c r="K213" s="1"/>
    </row>
    <row r="214">
      <c r="K214" s="1"/>
    </row>
    <row r="215">
      <c r="K215" s="1"/>
    </row>
    <row r="216">
      <c r="K216" s="1"/>
    </row>
    <row r="217">
      <c r="K217" s="1"/>
    </row>
    <row r="218">
      <c r="K218" s="1"/>
    </row>
    <row r="219">
      <c r="K219" s="1"/>
    </row>
    <row r="220">
      <c r="K220" s="1"/>
    </row>
    <row r="221">
      <c r="K221" s="1"/>
    </row>
    <row r="222">
      <c r="K222" s="1"/>
    </row>
    <row r="223">
      <c r="K223" s="1"/>
    </row>
    <row r="224">
      <c r="K224" s="1"/>
    </row>
    <row r="225">
      <c r="K225" s="1"/>
    </row>
    <row r="226">
      <c r="K226" s="1"/>
    </row>
    <row r="227">
      <c r="K227" s="1"/>
    </row>
    <row r="228">
      <c r="K228" s="1"/>
    </row>
    <row r="229">
      <c r="K229" s="1"/>
    </row>
    <row r="230">
      <c r="K230" s="1"/>
    </row>
    <row r="231">
      <c r="K231" s="1"/>
    </row>
    <row r="232">
      <c r="K232" s="1"/>
    </row>
    <row r="233">
      <c r="K233" s="1"/>
    </row>
    <row r="234">
      <c r="K234" s="1"/>
    </row>
    <row r="235">
      <c r="K235" s="1"/>
    </row>
    <row r="236">
      <c r="K236" s="1"/>
    </row>
    <row r="237">
      <c r="K237" s="1"/>
    </row>
    <row r="238">
      <c r="K238" s="1"/>
    </row>
    <row r="239">
      <c r="K239" s="1"/>
    </row>
    <row r="240">
      <c r="K240" s="1"/>
    </row>
    <row r="241">
      <c r="K241" s="1"/>
    </row>
    <row r="242">
      <c r="K242" s="1"/>
    </row>
    <row r="243">
      <c r="K243" s="1"/>
    </row>
    <row r="244">
      <c r="K244" s="1"/>
    </row>
    <row r="245">
      <c r="K245" s="1"/>
    </row>
    <row r="246">
      <c r="K246" s="1"/>
    </row>
    <row r="247">
      <c r="K247" s="1"/>
    </row>
    <row r="248">
      <c r="K248" s="1"/>
    </row>
    <row r="249">
      <c r="K249" s="1"/>
    </row>
    <row r="250">
      <c r="K250" s="1"/>
    </row>
    <row r="251">
      <c r="K251" s="1"/>
    </row>
    <row r="252">
      <c r="K252" s="1"/>
    </row>
    <row r="253">
      <c r="K253" s="1"/>
    </row>
    <row r="254">
      <c r="K254" s="1"/>
    </row>
    <row r="255">
      <c r="K255" s="1"/>
    </row>
    <row r="256">
      <c r="K256" s="1"/>
    </row>
    <row r="257">
      <c r="K257" s="1"/>
    </row>
    <row r="258">
      <c r="K258" s="1"/>
    </row>
    <row r="259">
      <c r="K259" s="1"/>
    </row>
    <row r="260">
      <c r="K260" s="1"/>
    </row>
    <row r="261">
      <c r="K261" s="1"/>
    </row>
    <row r="262">
      <c r="K262" s="1"/>
    </row>
    <row r="263">
      <c r="K263" s="1"/>
    </row>
    <row r="264">
      <c r="K264" s="1"/>
    </row>
    <row r="265">
      <c r="K265" s="1"/>
    </row>
    <row r="266">
      <c r="K266" s="1"/>
    </row>
    <row r="267">
      <c r="K267" s="1"/>
    </row>
    <row r="268">
      <c r="K268" s="1"/>
    </row>
    <row r="269">
      <c r="K269" s="1"/>
    </row>
    <row r="270">
      <c r="K270" s="1"/>
    </row>
    <row r="271">
      <c r="K271" s="1"/>
    </row>
    <row r="272">
      <c r="K272" s="1"/>
    </row>
    <row r="273">
      <c r="K273" s="1"/>
    </row>
    <row r="274">
      <c r="K274" s="1"/>
    </row>
    <row r="275">
      <c r="K275" s="1"/>
    </row>
    <row r="276">
      <c r="K276" s="1"/>
    </row>
    <row r="277">
      <c r="K277" s="1"/>
    </row>
    <row r="278">
      <c r="K278" s="1"/>
    </row>
    <row r="279">
      <c r="K279" s="1"/>
    </row>
    <row r="280">
      <c r="K280" s="1"/>
    </row>
    <row r="281">
      <c r="K281" s="1"/>
    </row>
    <row r="282">
      <c r="K282" s="1"/>
    </row>
    <row r="283">
      <c r="K283" s="1"/>
    </row>
    <row r="284">
      <c r="K284" s="1"/>
    </row>
    <row r="285">
      <c r="K285" s="1"/>
    </row>
    <row r="286">
      <c r="K286" s="1"/>
    </row>
    <row r="287">
      <c r="K287" s="1"/>
    </row>
    <row r="288">
      <c r="K288" s="1"/>
    </row>
    <row r="289">
      <c r="K289" s="1"/>
    </row>
    <row r="290">
      <c r="K290" s="1"/>
    </row>
    <row r="291">
      <c r="K291" s="1"/>
    </row>
    <row r="292">
      <c r="K292" s="1"/>
    </row>
    <row r="293">
      <c r="K293" s="1"/>
    </row>
    <row r="294">
      <c r="K294" s="1"/>
    </row>
    <row r="295">
      <c r="K295" s="1"/>
    </row>
    <row r="296">
      <c r="K296" s="1"/>
    </row>
    <row r="297">
      <c r="K297" s="1"/>
    </row>
    <row r="298">
      <c r="K298" s="1"/>
    </row>
    <row r="299">
      <c r="K299" s="1"/>
    </row>
    <row r="300">
      <c r="K300" s="1"/>
    </row>
    <row r="301">
      <c r="K301" s="1"/>
    </row>
    <row r="302">
      <c r="K302" s="1"/>
    </row>
    <row r="303">
      <c r="K303" s="1"/>
    </row>
    <row r="304">
      <c r="K304" s="1"/>
    </row>
    <row r="305">
      <c r="K305" s="1"/>
    </row>
    <row r="306">
      <c r="K306" s="1"/>
    </row>
    <row r="307">
      <c r="K307" s="1"/>
    </row>
    <row r="308">
      <c r="K308" s="1"/>
    </row>
    <row r="309">
      <c r="K309" s="1"/>
    </row>
    <row r="310">
      <c r="K310" s="1"/>
    </row>
    <row r="311">
      <c r="K311" s="1"/>
    </row>
    <row r="312">
      <c r="K312" s="1"/>
    </row>
    <row r="313">
      <c r="K313" s="1"/>
    </row>
    <row r="314">
      <c r="K314" s="1"/>
    </row>
    <row r="315">
      <c r="K315" s="1"/>
    </row>
    <row r="316">
      <c r="K316" s="1"/>
    </row>
    <row r="317">
      <c r="K317" s="1"/>
    </row>
    <row r="318">
      <c r="K318" s="1"/>
    </row>
    <row r="319">
      <c r="K319" s="1"/>
    </row>
    <row r="320">
      <c r="K320" s="1"/>
    </row>
    <row r="321">
      <c r="K321" s="1"/>
    </row>
    <row r="322">
      <c r="K322" s="1"/>
    </row>
    <row r="323">
      <c r="K323" s="1"/>
    </row>
    <row r="324">
      <c r="K324" s="1"/>
    </row>
    <row r="325">
      <c r="K325" s="1"/>
    </row>
    <row r="326">
      <c r="K326" s="1"/>
    </row>
    <row r="327">
      <c r="K327" s="1"/>
    </row>
    <row r="328">
      <c r="K328" s="1"/>
    </row>
    <row r="329">
      <c r="K329" s="1"/>
    </row>
    <row r="330">
      <c r="K330" s="1"/>
    </row>
    <row r="331">
      <c r="K331" s="1"/>
    </row>
    <row r="332">
      <c r="K332" s="1"/>
    </row>
    <row r="333">
      <c r="K333" s="1"/>
    </row>
    <row r="334">
      <c r="K334" s="1"/>
    </row>
    <row r="335">
      <c r="K335" s="1"/>
    </row>
    <row r="336">
      <c r="K336" s="1"/>
    </row>
    <row r="337">
      <c r="K337" s="1"/>
    </row>
    <row r="338">
      <c r="K338" s="1"/>
    </row>
    <row r="339">
      <c r="K339" s="1"/>
    </row>
    <row r="340">
      <c r="K340" s="1"/>
    </row>
    <row r="341">
      <c r="K341" s="1"/>
    </row>
    <row r="342">
      <c r="K342" s="1"/>
    </row>
    <row r="343">
      <c r="K343" s="1"/>
    </row>
    <row r="344">
      <c r="K344" s="1"/>
    </row>
    <row r="345">
      <c r="K345" s="1"/>
    </row>
    <row r="346">
      <c r="K346" s="1"/>
    </row>
    <row r="347">
      <c r="K347" s="1"/>
    </row>
    <row r="348">
      <c r="K348" s="1"/>
    </row>
    <row r="349">
      <c r="K349" s="1"/>
    </row>
    <row r="350">
      <c r="K350" s="1"/>
    </row>
    <row r="351">
      <c r="K351" s="1"/>
    </row>
    <row r="352">
      <c r="K352" s="1"/>
    </row>
    <row r="353">
      <c r="K353" s="1"/>
    </row>
    <row r="354">
      <c r="K354" s="1"/>
    </row>
    <row r="355">
      <c r="K355" s="1"/>
    </row>
    <row r="356">
      <c r="K356" s="1"/>
    </row>
    <row r="357">
      <c r="K357" s="1"/>
    </row>
    <row r="358">
      <c r="K358" s="1"/>
    </row>
    <row r="359">
      <c r="K359" s="1"/>
    </row>
    <row r="360">
      <c r="K360" s="1"/>
    </row>
    <row r="361">
      <c r="K361" s="1"/>
    </row>
    <row r="362">
      <c r="K362" s="1"/>
    </row>
    <row r="363">
      <c r="K363" s="1"/>
    </row>
    <row r="364">
      <c r="K364" s="1"/>
    </row>
    <row r="365">
      <c r="K365" s="1"/>
    </row>
    <row r="366">
      <c r="K366" s="1"/>
    </row>
    <row r="367">
      <c r="K367" s="1"/>
    </row>
    <row r="368">
      <c r="K368" s="1"/>
    </row>
    <row r="369">
      <c r="K369" s="1"/>
    </row>
    <row r="370">
      <c r="K370" s="1"/>
    </row>
    <row r="371">
      <c r="K371" s="1"/>
    </row>
    <row r="372">
      <c r="K372" s="1"/>
    </row>
    <row r="373">
      <c r="K373" s="1"/>
    </row>
    <row r="374">
      <c r="K374" s="1"/>
    </row>
    <row r="375">
      <c r="K375" s="1"/>
    </row>
    <row r="376">
      <c r="K376" s="1"/>
    </row>
    <row r="377">
      <c r="K377" s="1"/>
    </row>
    <row r="378">
      <c r="K378" s="1"/>
    </row>
    <row r="379">
      <c r="K379" s="1"/>
    </row>
    <row r="380">
      <c r="K380" s="1"/>
    </row>
    <row r="381">
      <c r="K381" s="1"/>
    </row>
    <row r="382">
      <c r="K382" s="1"/>
    </row>
    <row r="383">
      <c r="K383" s="1"/>
    </row>
    <row r="384">
      <c r="K384" s="1"/>
    </row>
    <row r="385">
      <c r="K385" s="1"/>
    </row>
    <row r="386">
      <c r="K386" s="1"/>
    </row>
    <row r="387">
      <c r="K387" s="1"/>
    </row>
    <row r="388">
      <c r="K388" s="1"/>
    </row>
    <row r="389">
      <c r="K389" s="1"/>
    </row>
    <row r="390">
      <c r="K390" s="1"/>
    </row>
    <row r="391">
      <c r="K391" s="1"/>
    </row>
    <row r="392">
      <c r="K392" s="1"/>
    </row>
    <row r="393">
      <c r="K393" s="1"/>
    </row>
    <row r="394">
      <c r="K394" s="1"/>
    </row>
    <row r="395">
      <c r="K395" s="1"/>
    </row>
    <row r="396">
      <c r="K396" s="1"/>
    </row>
    <row r="397">
      <c r="K397" s="1"/>
    </row>
    <row r="398">
      <c r="K398" s="1"/>
    </row>
    <row r="399">
      <c r="K399" s="1"/>
    </row>
    <row r="400">
      <c r="K400" s="1"/>
    </row>
    <row r="401">
      <c r="K401" s="1"/>
    </row>
    <row r="402">
      <c r="K402" s="1"/>
    </row>
    <row r="403">
      <c r="K403" s="1"/>
    </row>
    <row r="404">
      <c r="K404" s="1"/>
    </row>
    <row r="405">
      <c r="K405" s="1"/>
    </row>
    <row r="406">
      <c r="K406" s="1"/>
    </row>
    <row r="407">
      <c r="K407" s="1"/>
    </row>
    <row r="408">
      <c r="K408" s="1"/>
    </row>
    <row r="409">
      <c r="K409" s="1"/>
    </row>
    <row r="410">
      <c r="K410" s="1"/>
    </row>
    <row r="411">
      <c r="K411" s="1"/>
    </row>
    <row r="412">
      <c r="K412" s="1"/>
    </row>
    <row r="413">
      <c r="K413" s="1"/>
    </row>
    <row r="414">
      <c r="K414" s="1"/>
    </row>
    <row r="415">
      <c r="K415" s="1"/>
    </row>
    <row r="416">
      <c r="K416" s="1"/>
    </row>
    <row r="417">
      <c r="K417" s="1"/>
    </row>
    <row r="418">
      <c r="K418" s="1"/>
    </row>
    <row r="419">
      <c r="K419" s="1"/>
    </row>
    <row r="420">
      <c r="K420" s="1"/>
    </row>
    <row r="421">
      <c r="K421" s="1"/>
    </row>
    <row r="422">
      <c r="K422" s="1"/>
    </row>
    <row r="423">
      <c r="K423" s="1"/>
    </row>
    <row r="424">
      <c r="K424" s="1"/>
    </row>
    <row r="425">
      <c r="K425" s="1"/>
    </row>
    <row r="426">
      <c r="K426" s="1"/>
    </row>
    <row r="427">
      <c r="K427" s="1"/>
    </row>
    <row r="428">
      <c r="K428" s="1"/>
    </row>
    <row r="429">
      <c r="K429" s="1"/>
    </row>
    <row r="430">
      <c r="K430" s="1"/>
    </row>
    <row r="431">
      <c r="K431" s="1"/>
    </row>
    <row r="432">
      <c r="K432" s="1"/>
    </row>
    <row r="433">
      <c r="K433" s="1"/>
    </row>
    <row r="434">
      <c r="K434" s="1"/>
    </row>
    <row r="435">
      <c r="K435" s="1"/>
    </row>
    <row r="436">
      <c r="K436" s="1"/>
    </row>
    <row r="437">
      <c r="K437" s="1"/>
    </row>
    <row r="438">
      <c r="K438" s="1"/>
    </row>
    <row r="439">
      <c r="K439" s="1"/>
    </row>
    <row r="440">
      <c r="K440" s="1"/>
    </row>
    <row r="441">
      <c r="K441" s="1"/>
    </row>
    <row r="442">
      <c r="K442" s="1"/>
    </row>
    <row r="443">
      <c r="K443" s="1"/>
    </row>
    <row r="444">
      <c r="K444" s="1"/>
    </row>
    <row r="445">
      <c r="K445" s="1"/>
    </row>
    <row r="446">
      <c r="K446" s="1"/>
    </row>
    <row r="447">
      <c r="K447" s="1"/>
    </row>
    <row r="448">
      <c r="K448" s="1"/>
    </row>
    <row r="449">
      <c r="K449" s="1"/>
    </row>
    <row r="450">
      <c r="K450" s="1"/>
    </row>
    <row r="451">
      <c r="K451" s="1"/>
    </row>
    <row r="452">
      <c r="K452" s="1"/>
    </row>
    <row r="453">
      <c r="K453" s="1"/>
    </row>
    <row r="454">
      <c r="K454" s="1"/>
    </row>
    <row r="455">
      <c r="K455" s="1"/>
    </row>
    <row r="456">
      <c r="K456" s="1"/>
    </row>
    <row r="457">
      <c r="K457" s="1"/>
    </row>
    <row r="458">
      <c r="K458" s="1"/>
    </row>
    <row r="459">
      <c r="K459" s="1"/>
    </row>
    <row r="460">
      <c r="K460" s="1"/>
    </row>
    <row r="461">
      <c r="K461" s="1"/>
    </row>
    <row r="462">
      <c r="K462" s="1"/>
    </row>
    <row r="463">
      <c r="K463" s="1"/>
    </row>
    <row r="464">
      <c r="K464" s="1"/>
    </row>
    <row r="465">
      <c r="K465" s="1"/>
    </row>
    <row r="466">
      <c r="K466" s="1"/>
    </row>
    <row r="467">
      <c r="K467" s="1"/>
    </row>
    <row r="468">
      <c r="K468" s="1"/>
    </row>
    <row r="469">
      <c r="K469" s="1"/>
    </row>
    <row r="470">
      <c r="K470" s="1"/>
    </row>
    <row r="471">
      <c r="K471" s="1"/>
    </row>
    <row r="472">
      <c r="K472" s="1"/>
    </row>
    <row r="473">
      <c r="K473" s="1"/>
    </row>
    <row r="474">
      <c r="K474" s="1"/>
    </row>
    <row r="475">
      <c r="K475" s="1"/>
    </row>
    <row r="476">
      <c r="K476" s="1"/>
    </row>
    <row r="477">
      <c r="K477" s="1"/>
    </row>
    <row r="478">
      <c r="K478" s="1"/>
    </row>
    <row r="479">
      <c r="K479" s="1"/>
    </row>
    <row r="480">
      <c r="K480" s="1"/>
    </row>
    <row r="481">
      <c r="K481" s="1"/>
    </row>
    <row r="482">
      <c r="K482" s="1"/>
    </row>
    <row r="483">
      <c r="K483" s="1"/>
    </row>
    <row r="484">
      <c r="K484" s="1"/>
    </row>
    <row r="485">
      <c r="K485" s="1"/>
    </row>
    <row r="486">
      <c r="K486" s="1"/>
    </row>
    <row r="487">
      <c r="K487" s="1"/>
    </row>
    <row r="488">
      <c r="K488" s="1"/>
    </row>
    <row r="489">
      <c r="K489" s="1"/>
    </row>
    <row r="490">
      <c r="K490" s="1"/>
    </row>
    <row r="491">
      <c r="K491" s="1"/>
    </row>
    <row r="492">
      <c r="K492" s="1"/>
    </row>
    <row r="493">
      <c r="K493" s="1"/>
    </row>
    <row r="494">
      <c r="K494" s="1"/>
    </row>
    <row r="495">
      <c r="K495" s="1"/>
    </row>
    <row r="496">
      <c r="K496" s="1"/>
    </row>
    <row r="497">
      <c r="K497" s="1"/>
    </row>
    <row r="498">
      <c r="K498" s="1"/>
    </row>
    <row r="499">
      <c r="K499" s="1"/>
    </row>
    <row r="500">
      <c r="K500" s="1"/>
    </row>
    <row r="501">
      <c r="K501" s="1"/>
    </row>
    <row r="502">
      <c r="K502" s="1"/>
    </row>
    <row r="503">
      <c r="K503" s="1"/>
    </row>
    <row r="504">
      <c r="K504" s="1"/>
    </row>
    <row r="505">
      <c r="K505" s="1"/>
    </row>
    <row r="506">
      <c r="K506" s="1"/>
    </row>
    <row r="507">
      <c r="K507" s="1"/>
    </row>
    <row r="508">
      <c r="K508" s="1"/>
    </row>
    <row r="509">
      <c r="K509" s="1"/>
    </row>
    <row r="510">
      <c r="K510" s="1"/>
    </row>
    <row r="511">
      <c r="K511" s="1"/>
    </row>
    <row r="512">
      <c r="K512" s="1"/>
    </row>
    <row r="513">
      <c r="K513" s="1"/>
    </row>
    <row r="514">
      <c r="K514" s="1"/>
    </row>
    <row r="515">
      <c r="K515" s="1"/>
    </row>
    <row r="516">
      <c r="K516" s="1"/>
    </row>
    <row r="517">
      <c r="K517" s="1"/>
    </row>
    <row r="518">
      <c r="K518" s="1"/>
    </row>
    <row r="519">
      <c r="K519" s="1"/>
    </row>
    <row r="520">
      <c r="K520" s="1"/>
    </row>
    <row r="521">
      <c r="K521" s="1"/>
    </row>
    <row r="522">
      <c r="K522" s="1"/>
    </row>
    <row r="523">
      <c r="K523" s="1"/>
    </row>
    <row r="524">
      <c r="K524" s="1"/>
    </row>
    <row r="525">
      <c r="K525" s="1"/>
    </row>
    <row r="526">
      <c r="K526" s="1"/>
    </row>
    <row r="527">
      <c r="K527" s="1"/>
    </row>
    <row r="528">
      <c r="K528" s="1"/>
    </row>
    <row r="529">
      <c r="K529" s="1"/>
    </row>
    <row r="530">
      <c r="K530" s="1"/>
    </row>
    <row r="531">
      <c r="K531" s="1"/>
    </row>
    <row r="532">
      <c r="K532" s="1"/>
    </row>
    <row r="533">
      <c r="K533" s="1"/>
    </row>
    <row r="534">
      <c r="K534" s="1"/>
    </row>
    <row r="535">
      <c r="K535" s="1"/>
    </row>
    <row r="536">
      <c r="K536" s="1"/>
    </row>
    <row r="537">
      <c r="K537" s="1"/>
    </row>
    <row r="538">
      <c r="K538" s="1"/>
    </row>
    <row r="539">
      <c r="K539" s="1"/>
    </row>
    <row r="540">
      <c r="K540" s="1"/>
    </row>
    <row r="541">
      <c r="K541" s="1"/>
    </row>
    <row r="542">
      <c r="K542" s="1"/>
    </row>
    <row r="543">
      <c r="K543" s="1"/>
    </row>
    <row r="544">
      <c r="K544" s="1"/>
    </row>
    <row r="545">
      <c r="K545" s="1"/>
    </row>
    <row r="546">
      <c r="K546" s="1"/>
    </row>
    <row r="547">
      <c r="K547" s="1"/>
    </row>
    <row r="548">
      <c r="K548" s="1"/>
    </row>
    <row r="549">
      <c r="K549" s="1"/>
    </row>
    <row r="550">
      <c r="K550" s="1"/>
    </row>
    <row r="551">
      <c r="K551" s="1"/>
    </row>
    <row r="552">
      <c r="K552" s="1"/>
    </row>
    <row r="553">
      <c r="K553" s="1"/>
    </row>
    <row r="554">
      <c r="K554" s="1"/>
    </row>
    <row r="555">
      <c r="K555" s="1"/>
    </row>
    <row r="556">
      <c r="K556" s="1"/>
    </row>
    <row r="557">
      <c r="K557" s="1"/>
    </row>
    <row r="558">
      <c r="K558" s="1"/>
    </row>
    <row r="559">
      <c r="K559" s="1"/>
    </row>
    <row r="560">
      <c r="K560" s="1"/>
    </row>
    <row r="561">
      <c r="K561" s="1"/>
    </row>
    <row r="562">
      <c r="K562" s="1"/>
    </row>
    <row r="563">
      <c r="K563" s="1"/>
    </row>
    <row r="564">
      <c r="K564" s="1"/>
    </row>
    <row r="565">
      <c r="K565" s="1"/>
    </row>
    <row r="566">
      <c r="K566" s="1"/>
    </row>
    <row r="567">
      <c r="K567" s="1"/>
    </row>
    <row r="568">
      <c r="K568" s="1"/>
    </row>
    <row r="569">
      <c r="K569" s="1"/>
    </row>
    <row r="570">
      <c r="K570" s="1"/>
    </row>
    <row r="571">
      <c r="K571" s="1"/>
    </row>
    <row r="572">
      <c r="K572" s="1"/>
    </row>
    <row r="573">
      <c r="K573" s="1"/>
    </row>
    <row r="574">
      <c r="K574" s="1"/>
    </row>
    <row r="575">
      <c r="K575" s="1"/>
    </row>
    <row r="576">
      <c r="K576" s="1"/>
    </row>
    <row r="577">
      <c r="K577" s="1"/>
    </row>
    <row r="578">
      <c r="K578" s="1"/>
    </row>
    <row r="579">
      <c r="K579" s="1"/>
    </row>
    <row r="580">
      <c r="K580" s="1"/>
    </row>
    <row r="581">
      <c r="K581" s="1"/>
    </row>
    <row r="582">
      <c r="K582" s="1"/>
    </row>
    <row r="583">
      <c r="K583" s="1"/>
    </row>
    <row r="584">
      <c r="K584" s="1"/>
    </row>
    <row r="585">
      <c r="K585" s="1"/>
    </row>
    <row r="586">
      <c r="K586" s="1"/>
    </row>
    <row r="587">
      <c r="K587" s="1"/>
    </row>
    <row r="588">
      <c r="K588" s="1"/>
    </row>
    <row r="589">
      <c r="K589" s="1"/>
    </row>
    <row r="590">
      <c r="K590" s="1"/>
    </row>
    <row r="591">
      <c r="K591" s="1"/>
    </row>
    <row r="592">
      <c r="K592" s="1"/>
    </row>
    <row r="593">
      <c r="K593" s="1"/>
    </row>
    <row r="594">
      <c r="K594" s="1"/>
    </row>
    <row r="595">
      <c r="K595" s="1"/>
    </row>
    <row r="596">
      <c r="K596" s="1"/>
    </row>
    <row r="597">
      <c r="K597" s="1"/>
    </row>
    <row r="598">
      <c r="K598" s="1"/>
    </row>
    <row r="599">
      <c r="K599" s="1"/>
    </row>
    <row r="600">
      <c r="K600" s="1"/>
    </row>
    <row r="601">
      <c r="K601" s="1"/>
    </row>
    <row r="602">
      <c r="K602" s="1"/>
    </row>
    <row r="603">
      <c r="K603" s="1"/>
    </row>
    <row r="604">
      <c r="K604" s="1"/>
    </row>
    <row r="605">
      <c r="K605" s="1"/>
    </row>
    <row r="606">
      <c r="K606" s="1"/>
    </row>
    <row r="607">
      <c r="K607" s="1"/>
    </row>
    <row r="608">
      <c r="K608" s="1"/>
    </row>
    <row r="609">
      <c r="K609" s="1"/>
    </row>
    <row r="610">
      <c r="K610" s="1"/>
    </row>
    <row r="611">
      <c r="K611" s="1"/>
    </row>
    <row r="612">
      <c r="K612" s="1"/>
    </row>
    <row r="613">
      <c r="K613" s="1"/>
    </row>
    <row r="614">
      <c r="K614" s="1"/>
    </row>
    <row r="615">
      <c r="K615" s="1"/>
    </row>
    <row r="616">
      <c r="K616" s="1"/>
    </row>
    <row r="617">
      <c r="K617" s="1"/>
    </row>
    <row r="618">
      <c r="K618" s="1"/>
    </row>
    <row r="619">
      <c r="K619" s="1"/>
    </row>
    <row r="620">
      <c r="K620" s="1"/>
    </row>
    <row r="621">
      <c r="K621" s="1"/>
    </row>
    <row r="622">
      <c r="K622" s="1"/>
    </row>
    <row r="623">
      <c r="K623" s="1"/>
    </row>
    <row r="624">
      <c r="K624" s="1"/>
    </row>
    <row r="625">
      <c r="K625" s="1"/>
    </row>
    <row r="626">
      <c r="K626" s="1"/>
    </row>
    <row r="627">
      <c r="K627" s="1"/>
    </row>
    <row r="628">
      <c r="K628" s="1"/>
    </row>
    <row r="629">
      <c r="K629" s="1"/>
    </row>
    <row r="630">
      <c r="K630" s="1"/>
    </row>
    <row r="631">
      <c r="K631" s="1"/>
    </row>
    <row r="632">
      <c r="K632" s="1"/>
    </row>
    <row r="633">
      <c r="K633" s="1"/>
    </row>
    <row r="634">
      <c r="K634" s="1"/>
    </row>
    <row r="635">
      <c r="K635" s="1"/>
    </row>
    <row r="636">
      <c r="K636" s="1"/>
    </row>
    <row r="637">
      <c r="K637" s="1"/>
    </row>
    <row r="638">
      <c r="K638" s="1"/>
    </row>
    <row r="639">
      <c r="K639" s="1"/>
    </row>
    <row r="640">
      <c r="K640" s="1"/>
    </row>
    <row r="641">
      <c r="K641" s="1"/>
    </row>
    <row r="642">
      <c r="K642" s="1"/>
    </row>
    <row r="643">
      <c r="K643" s="1"/>
    </row>
    <row r="644">
      <c r="K644" s="1"/>
    </row>
    <row r="645">
      <c r="K645" s="1"/>
    </row>
    <row r="646">
      <c r="K646" s="1"/>
    </row>
    <row r="647">
      <c r="K647" s="1"/>
    </row>
    <row r="648">
      <c r="K648" s="1"/>
    </row>
    <row r="649">
      <c r="K649" s="1"/>
    </row>
    <row r="650">
      <c r="K650" s="1"/>
    </row>
    <row r="651">
      <c r="K651" s="1"/>
    </row>
    <row r="652">
      <c r="K652" s="1"/>
    </row>
    <row r="653">
      <c r="K653" s="1"/>
    </row>
    <row r="654">
      <c r="K654" s="1"/>
    </row>
    <row r="655">
      <c r="K655" s="1"/>
    </row>
    <row r="656">
      <c r="K656" s="1"/>
    </row>
    <row r="657">
      <c r="K657" s="1"/>
    </row>
    <row r="658">
      <c r="K658" s="1"/>
    </row>
    <row r="659">
      <c r="K659" s="1"/>
    </row>
    <row r="660">
      <c r="K660" s="1"/>
    </row>
    <row r="661">
      <c r="K661" s="1"/>
    </row>
    <row r="662">
      <c r="K662" s="1"/>
    </row>
    <row r="663">
      <c r="K663" s="1"/>
    </row>
    <row r="664">
      <c r="K664" s="1"/>
    </row>
    <row r="665">
      <c r="K665" s="1"/>
    </row>
    <row r="666">
      <c r="K666" s="1"/>
    </row>
    <row r="667">
      <c r="K667" s="1"/>
    </row>
    <row r="668">
      <c r="K668" s="1"/>
    </row>
    <row r="669">
      <c r="K669" s="1"/>
    </row>
    <row r="670">
      <c r="K670" s="1"/>
    </row>
    <row r="671">
      <c r="K671" s="1"/>
    </row>
    <row r="672">
      <c r="K672" s="1"/>
    </row>
    <row r="673">
      <c r="K673" s="1"/>
    </row>
    <row r="674">
      <c r="K674" s="1"/>
    </row>
    <row r="675">
      <c r="K675" s="1"/>
    </row>
    <row r="676">
      <c r="K676" s="1"/>
    </row>
    <row r="677">
      <c r="K677" s="1"/>
    </row>
    <row r="678">
      <c r="K678" s="1"/>
    </row>
    <row r="679">
      <c r="K679" s="1"/>
    </row>
    <row r="680">
      <c r="K680" s="1"/>
    </row>
    <row r="681">
      <c r="K681" s="1"/>
    </row>
    <row r="682">
      <c r="K682" s="1"/>
    </row>
    <row r="683">
      <c r="K683" s="1"/>
    </row>
    <row r="684">
      <c r="K684" s="1"/>
    </row>
    <row r="685">
      <c r="K685" s="1"/>
    </row>
    <row r="686">
      <c r="K686" s="1"/>
    </row>
    <row r="687">
      <c r="K687" s="1"/>
    </row>
    <row r="688">
      <c r="K688" s="1"/>
    </row>
    <row r="689">
      <c r="K689" s="1"/>
    </row>
    <row r="690">
      <c r="K690" s="1"/>
    </row>
    <row r="691">
      <c r="K691" s="1"/>
    </row>
    <row r="692">
      <c r="K692" s="1"/>
    </row>
    <row r="693">
      <c r="K693" s="1"/>
    </row>
    <row r="694">
      <c r="K694" s="1"/>
    </row>
    <row r="695">
      <c r="K695" s="1"/>
    </row>
    <row r="696">
      <c r="K696" s="1"/>
    </row>
    <row r="697">
      <c r="K697" s="1"/>
    </row>
    <row r="698">
      <c r="K698" s="1"/>
    </row>
    <row r="699">
      <c r="K699" s="1"/>
    </row>
    <row r="700">
      <c r="K700" s="1"/>
    </row>
    <row r="701">
      <c r="K701" s="1"/>
    </row>
    <row r="702">
      <c r="K702" s="1"/>
    </row>
    <row r="703">
      <c r="K703" s="1"/>
    </row>
    <row r="704">
      <c r="K704" s="1"/>
    </row>
    <row r="705">
      <c r="K705" s="1"/>
    </row>
    <row r="706">
      <c r="K706" s="1"/>
    </row>
    <row r="707">
      <c r="K707" s="1"/>
    </row>
    <row r="708">
      <c r="K708" s="1"/>
    </row>
    <row r="709">
      <c r="K709" s="1"/>
    </row>
    <row r="710">
      <c r="K710" s="1"/>
    </row>
    <row r="711">
      <c r="K711" s="1"/>
    </row>
    <row r="712">
      <c r="K712" s="1"/>
    </row>
    <row r="713">
      <c r="K713" s="1"/>
    </row>
    <row r="714">
      <c r="K714" s="1"/>
    </row>
    <row r="715">
      <c r="K715" s="1"/>
    </row>
    <row r="716">
      <c r="K716" s="1"/>
    </row>
    <row r="717">
      <c r="K717" s="1"/>
    </row>
    <row r="718">
      <c r="K718" s="1"/>
    </row>
    <row r="719">
      <c r="K719" s="1"/>
    </row>
    <row r="720">
      <c r="K720" s="1"/>
    </row>
    <row r="721">
      <c r="K721" s="1"/>
    </row>
    <row r="722">
      <c r="K722" s="1"/>
    </row>
    <row r="723">
      <c r="K723" s="1"/>
    </row>
    <row r="724">
      <c r="K724" s="1"/>
    </row>
    <row r="725">
      <c r="K725" s="1"/>
    </row>
    <row r="726">
      <c r="K726" s="1"/>
    </row>
    <row r="727">
      <c r="K727" s="1"/>
    </row>
    <row r="728">
      <c r="K728" s="1"/>
    </row>
    <row r="729">
      <c r="K729" s="1"/>
    </row>
    <row r="730">
      <c r="K730" s="1"/>
    </row>
    <row r="731">
      <c r="K731" s="1"/>
    </row>
    <row r="732">
      <c r="K732" s="1"/>
    </row>
    <row r="733">
      <c r="K733" s="1"/>
    </row>
    <row r="734">
      <c r="K734" s="1"/>
    </row>
    <row r="735">
      <c r="K735" s="1"/>
    </row>
    <row r="736">
      <c r="K736" s="1"/>
    </row>
    <row r="737">
      <c r="K737" s="1"/>
    </row>
    <row r="738">
      <c r="K738" s="1"/>
    </row>
    <row r="739">
      <c r="K739" s="1"/>
    </row>
    <row r="740">
      <c r="K740" s="1"/>
    </row>
    <row r="741">
      <c r="K741" s="1"/>
    </row>
    <row r="742">
      <c r="K742" s="1"/>
    </row>
    <row r="743">
      <c r="K743" s="1"/>
    </row>
    <row r="744">
      <c r="K744" s="1"/>
    </row>
    <row r="745">
      <c r="K745" s="1"/>
    </row>
    <row r="746">
      <c r="K746" s="1"/>
    </row>
    <row r="747">
      <c r="K747" s="1"/>
    </row>
    <row r="748">
      <c r="K748" s="1"/>
    </row>
    <row r="749">
      <c r="K749" s="1"/>
    </row>
    <row r="750">
      <c r="K750" s="1"/>
    </row>
    <row r="751">
      <c r="K751" s="1"/>
    </row>
    <row r="752">
      <c r="K752" s="1"/>
    </row>
    <row r="753">
      <c r="K753" s="1"/>
    </row>
    <row r="754">
      <c r="K754" s="1"/>
    </row>
    <row r="755">
      <c r="K755" s="1"/>
    </row>
    <row r="756">
      <c r="K756" s="1"/>
    </row>
    <row r="757">
      <c r="K757" s="1"/>
    </row>
    <row r="758">
      <c r="K758" s="1"/>
    </row>
    <row r="759">
      <c r="K759" s="1"/>
    </row>
    <row r="760">
      <c r="K760" s="1"/>
    </row>
    <row r="761">
      <c r="K761" s="1"/>
    </row>
    <row r="762">
      <c r="K762" s="1"/>
    </row>
    <row r="763">
      <c r="K763" s="1"/>
    </row>
    <row r="764">
      <c r="K764" s="1"/>
    </row>
    <row r="765">
      <c r="K765" s="1"/>
    </row>
    <row r="766">
      <c r="K766" s="1"/>
    </row>
    <row r="767">
      <c r="K767" s="1"/>
    </row>
    <row r="768">
      <c r="K768" s="1"/>
    </row>
    <row r="769">
      <c r="K769" s="1"/>
    </row>
    <row r="770">
      <c r="K770" s="1"/>
    </row>
    <row r="771">
      <c r="K771" s="1"/>
    </row>
    <row r="772">
      <c r="K772" s="1"/>
    </row>
    <row r="773">
      <c r="K773" s="1"/>
    </row>
    <row r="774">
      <c r="K774" s="1"/>
    </row>
    <row r="775">
      <c r="K775" s="1"/>
    </row>
    <row r="776">
      <c r="K776" s="1"/>
    </row>
    <row r="777">
      <c r="K777" s="1"/>
    </row>
    <row r="778">
      <c r="K778" s="1"/>
    </row>
    <row r="779">
      <c r="K779" s="1"/>
    </row>
    <row r="780">
      <c r="K780" s="1"/>
    </row>
    <row r="781">
      <c r="K781" s="1"/>
    </row>
    <row r="782">
      <c r="K782" s="1"/>
    </row>
    <row r="783">
      <c r="K783" s="1"/>
    </row>
    <row r="784">
      <c r="K784" s="1"/>
    </row>
    <row r="785">
      <c r="K785" s="1"/>
    </row>
    <row r="786">
      <c r="K786" s="1"/>
    </row>
    <row r="787">
      <c r="K787" s="1"/>
    </row>
    <row r="788">
      <c r="K788" s="1"/>
    </row>
    <row r="789">
      <c r="K789" s="1"/>
    </row>
    <row r="790">
      <c r="K790" s="1"/>
    </row>
    <row r="791">
      <c r="K791" s="1"/>
    </row>
    <row r="792">
      <c r="K792" s="1"/>
    </row>
    <row r="793">
      <c r="K793" s="1"/>
    </row>
    <row r="794">
      <c r="K794" s="1"/>
    </row>
    <row r="795">
      <c r="K795" s="1"/>
    </row>
    <row r="796">
      <c r="K796" s="1"/>
    </row>
    <row r="797">
      <c r="K797" s="1"/>
    </row>
    <row r="798">
      <c r="K798" s="1"/>
    </row>
    <row r="799">
      <c r="K799" s="1"/>
    </row>
    <row r="800">
      <c r="K800" s="1"/>
    </row>
    <row r="801">
      <c r="K801" s="1"/>
    </row>
    <row r="802">
      <c r="K802" s="1"/>
    </row>
    <row r="803">
      <c r="K803" s="1"/>
    </row>
    <row r="804">
      <c r="K804" s="1"/>
    </row>
    <row r="805">
      <c r="K805" s="1"/>
    </row>
    <row r="806">
      <c r="K806" s="1"/>
    </row>
    <row r="807">
      <c r="K807" s="1"/>
    </row>
    <row r="808">
      <c r="K808" s="1"/>
    </row>
    <row r="809">
      <c r="K809" s="1"/>
    </row>
    <row r="810">
      <c r="K810" s="1"/>
    </row>
    <row r="811">
      <c r="K811" s="1"/>
    </row>
    <row r="812">
      <c r="K812" s="1"/>
    </row>
    <row r="813">
      <c r="K813" s="1"/>
    </row>
    <row r="814">
      <c r="K814" s="1"/>
    </row>
    <row r="815">
      <c r="K815" s="1"/>
    </row>
    <row r="816">
      <c r="K816" s="1"/>
    </row>
    <row r="817">
      <c r="K817" s="1"/>
    </row>
    <row r="818">
      <c r="K818" s="1"/>
    </row>
    <row r="819">
      <c r="K819" s="1"/>
    </row>
    <row r="820">
      <c r="K820" s="1"/>
    </row>
    <row r="821">
      <c r="K821" s="1"/>
    </row>
    <row r="822">
      <c r="K822" s="1"/>
    </row>
    <row r="823">
      <c r="K823" s="1"/>
    </row>
    <row r="824">
      <c r="K824" s="1"/>
    </row>
    <row r="825">
      <c r="K825" s="1"/>
    </row>
    <row r="826">
      <c r="K826" s="1"/>
    </row>
    <row r="827">
      <c r="K827" s="1"/>
    </row>
    <row r="828">
      <c r="K828" s="1"/>
    </row>
    <row r="829">
      <c r="K829" s="1"/>
    </row>
    <row r="830">
      <c r="K830" s="1"/>
    </row>
    <row r="831">
      <c r="K831" s="1"/>
    </row>
    <row r="832">
      <c r="K832" s="1"/>
    </row>
    <row r="833">
      <c r="K833" s="1"/>
    </row>
    <row r="834">
      <c r="K834" s="1"/>
    </row>
    <row r="835">
      <c r="K835" s="1"/>
    </row>
    <row r="836">
      <c r="K836" s="1"/>
    </row>
    <row r="837">
      <c r="K837" s="1"/>
    </row>
    <row r="838">
      <c r="K838" s="1"/>
    </row>
    <row r="839">
      <c r="K839" s="1"/>
    </row>
    <row r="840">
      <c r="K840" s="1"/>
    </row>
    <row r="841">
      <c r="K841" s="1"/>
    </row>
    <row r="842">
      <c r="K842" s="1"/>
    </row>
    <row r="843">
      <c r="K843" s="1"/>
    </row>
    <row r="844">
      <c r="K844" s="1"/>
    </row>
    <row r="845">
      <c r="K845" s="1"/>
    </row>
    <row r="846">
      <c r="K846" s="1"/>
    </row>
    <row r="847">
      <c r="K847" s="1"/>
    </row>
    <row r="848">
      <c r="K848" s="1"/>
    </row>
    <row r="849">
      <c r="K849" s="1"/>
    </row>
    <row r="850">
      <c r="K850" s="1"/>
    </row>
    <row r="851">
      <c r="K851" s="1"/>
    </row>
    <row r="852">
      <c r="K852" s="1"/>
    </row>
    <row r="853">
      <c r="K853" s="1"/>
    </row>
    <row r="854">
      <c r="K854" s="1"/>
    </row>
    <row r="855">
      <c r="K855" s="1"/>
    </row>
    <row r="856">
      <c r="K856" s="1"/>
    </row>
    <row r="857">
      <c r="K857" s="1"/>
    </row>
    <row r="858">
      <c r="K858" s="1"/>
    </row>
    <row r="859">
      <c r="K859" s="1"/>
    </row>
    <row r="860">
      <c r="K860" s="1"/>
    </row>
    <row r="861">
      <c r="K861" s="1"/>
    </row>
    <row r="862">
      <c r="K862" s="1"/>
    </row>
    <row r="863">
      <c r="K863" s="1"/>
    </row>
    <row r="864">
      <c r="K864" s="1"/>
    </row>
    <row r="865">
      <c r="K865" s="1"/>
    </row>
    <row r="866">
      <c r="K866" s="1"/>
    </row>
    <row r="867">
      <c r="K867" s="1"/>
    </row>
    <row r="868">
      <c r="K868" s="1"/>
    </row>
    <row r="869">
      <c r="K869" s="1"/>
    </row>
    <row r="870">
      <c r="K870" s="1"/>
    </row>
    <row r="871">
      <c r="K871" s="1"/>
    </row>
    <row r="872">
      <c r="K872" s="1"/>
    </row>
    <row r="873">
      <c r="K873" s="1"/>
    </row>
    <row r="874">
      <c r="K874" s="1"/>
    </row>
    <row r="875">
      <c r="K875" s="1"/>
    </row>
    <row r="876">
      <c r="K876" s="1"/>
    </row>
    <row r="877">
      <c r="K877" s="1"/>
    </row>
    <row r="878">
      <c r="K878" s="1"/>
    </row>
    <row r="879">
      <c r="K879" s="1"/>
    </row>
    <row r="880">
      <c r="K880" s="1"/>
    </row>
    <row r="881">
      <c r="K881" s="1"/>
    </row>
    <row r="882">
      <c r="K882" s="1"/>
    </row>
    <row r="883">
      <c r="K883" s="1"/>
    </row>
    <row r="884">
      <c r="K884" s="1"/>
    </row>
    <row r="885">
      <c r="K885" s="1"/>
    </row>
    <row r="886">
      <c r="K886" s="1"/>
    </row>
    <row r="887">
      <c r="K887" s="1"/>
    </row>
    <row r="888">
      <c r="K888" s="1"/>
    </row>
    <row r="889">
      <c r="K889" s="1"/>
    </row>
    <row r="890">
      <c r="K890" s="1"/>
    </row>
    <row r="891">
      <c r="K891" s="1"/>
    </row>
    <row r="892">
      <c r="K892" s="1"/>
    </row>
    <row r="893">
      <c r="K893" s="1"/>
    </row>
    <row r="894">
      <c r="K894" s="1"/>
    </row>
    <row r="895">
      <c r="K895" s="1"/>
    </row>
    <row r="896">
      <c r="K896" s="1"/>
    </row>
    <row r="897">
      <c r="K897" s="1"/>
    </row>
    <row r="898">
      <c r="K898" s="1"/>
    </row>
    <row r="899">
      <c r="K899" s="1"/>
    </row>
    <row r="900">
      <c r="K900" s="1"/>
    </row>
    <row r="901">
      <c r="K901" s="1"/>
    </row>
    <row r="902">
      <c r="K902" s="1"/>
    </row>
    <row r="903">
      <c r="K903" s="1"/>
    </row>
    <row r="904">
      <c r="K904" s="1"/>
    </row>
    <row r="905">
      <c r="K905" s="1"/>
    </row>
    <row r="906">
      <c r="K906" s="1"/>
    </row>
    <row r="907">
      <c r="K907" s="1"/>
    </row>
    <row r="908">
      <c r="K908" s="1"/>
    </row>
    <row r="909">
      <c r="K909" s="1"/>
    </row>
    <row r="910">
      <c r="K910" s="1"/>
    </row>
    <row r="911">
      <c r="K911" s="1"/>
    </row>
    <row r="912">
      <c r="K912" s="1"/>
    </row>
    <row r="913">
      <c r="K913" s="1"/>
    </row>
    <row r="914">
      <c r="K914" s="1"/>
    </row>
    <row r="915">
      <c r="K915" s="1"/>
    </row>
    <row r="916">
      <c r="K916" s="1"/>
    </row>
    <row r="917">
      <c r="K917" s="1"/>
    </row>
    <row r="918">
      <c r="K918" s="1"/>
    </row>
    <row r="919">
      <c r="K919" s="1"/>
    </row>
    <row r="920">
      <c r="K920" s="1"/>
    </row>
    <row r="921">
      <c r="K921" s="1"/>
    </row>
    <row r="922">
      <c r="K922" s="1"/>
    </row>
    <row r="923">
      <c r="K923" s="1"/>
    </row>
    <row r="924">
      <c r="K924" s="1"/>
    </row>
    <row r="925">
      <c r="K925" s="1"/>
    </row>
    <row r="926">
      <c r="K926" s="1"/>
    </row>
    <row r="927">
      <c r="K927" s="1"/>
    </row>
    <row r="928">
      <c r="K928" s="1"/>
    </row>
    <row r="929">
      <c r="K929" s="1"/>
    </row>
    <row r="930">
      <c r="K930" s="1"/>
    </row>
    <row r="931">
      <c r="K931" s="1"/>
    </row>
    <row r="932">
      <c r="K932" s="1"/>
    </row>
    <row r="933">
      <c r="K933" s="1"/>
    </row>
    <row r="934">
      <c r="K934" s="1"/>
    </row>
    <row r="935">
      <c r="K935" s="1"/>
    </row>
    <row r="936">
      <c r="K936" s="1"/>
    </row>
    <row r="937">
      <c r="K937" s="1"/>
    </row>
    <row r="938">
      <c r="K938" s="1"/>
    </row>
    <row r="939">
      <c r="K939" s="1"/>
    </row>
    <row r="940">
      <c r="K940" s="1"/>
    </row>
    <row r="941">
      <c r="K941" s="1"/>
    </row>
    <row r="942">
      <c r="K942" s="1"/>
    </row>
    <row r="943">
      <c r="K943" s="1"/>
    </row>
    <row r="944">
      <c r="K944" s="1"/>
    </row>
    <row r="945">
      <c r="K945" s="1"/>
    </row>
    <row r="946">
      <c r="K946" s="1"/>
    </row>
    <row r="947">
      <c r="K947" s="1"/>
    </row>
    <row r="948">
      <c r="K948" s="1"/>
    </row>
    <row r="949">
      <c r="K949" s="1"/>
    </row>
    <row r="950">
      <c r="K950" s="1"/>
    </row>
    <row r="951">
      <c r="K951" s="1"/>
    </row>
    <row r="952">
      <c r="K952" s="1"/>
    </row>
    <row r="953">
      <c r="K953" s="1"/>
    </row>
    <row r="954">
      <c r="K954" s="1"/>
    </row>
    <row r="955">
      <c r="K955" s="1"/>
    </row>
    <row r="956">
      <c r="K956" s="1"/>
    </row>
    <row r="957">
      <c r="K957" s="1"/>
    </row>
    <row r="958">
      <c r="K958" s="1"/>
    </row>
    <row r="959">
      <c r="K959" s="1"/>
    </row>
    <row r="960">
      <c r="K960" s="1"/>
    </row>
    <row r="961">
      <c r="K961" s="1"/>
    </row>
    <row r="962">
      <c r="K962" s="1"/>
    </row>
    <row r="963">
      <c r="K963" s="1"/>
    </row>
    <row r="964">
      <c r="K964" s="1"/>
    </row>
    <row r="965">
      <c r="K965" s="1"/>
    </row>
    <row r="966">
      <c r="K966" s="1"/>
    </row>
    <row r="967">
      <c r="K967" s="1"/>
    </row>
    <row r="968">
      <c r="K968" s="1"/>
    </row>
    <row r="969">
      <c r="K969" s="1"/>
    </row>
    <row r="970">
      <c r="K970" s="1"/>
    </row>
    <row r="971">
      <c r="K971" s="1"/>
    </row>
    <row r="972">
      <c r="K972" s="1"/>
    </row>
    <row r="973">
      <c r="K973" s="1"/>
    </row>
    <row r="974">
      <c r="K974" s="1"/>
    </row>
    <row r="975">
      <c r="K975" s="1"/>
    </row>
    <row r="976">
      <c r="K976" s="1"/>
    </row>
    <row r="977">
      <c r="K977" s="1"/>
    </row>
    <row r="978">
      <c r="K978" s="1"/>
    </row>
    <row r="979">
      <c r="K979" s="1"/>
    </row>
    <row r="980">
      <c r="K980" s="1"/>
    </row>
    <row r="981">
      <c r="K981" s="1"/>
    </row>
    <row r="982">
      <c r="K982" s="1"/>
    </row>
    <row r="983">
      <c r="K983" s="1"/>
    </row>
    <row r="984">
      <c r="K984" s="1"/>
    </row>
    <row r="985">
      <c r="K985" s="1"/>
    </row>
    <row r="986">
      <c r="K986" s="1"/>
    </row>
    <row r="987">
      <c r="K987" s="1"/>
    </row>
    <row r="988">
      <c r="K988" s="1"/>
    </row>
    <row r="989">
      <c r="K989" s="1"/>
    </row>
    <row r="990">
      <c r="K990" s="1"/>
    </row>
    <row r="991">
      <c r="K991" s="1"/>
    </row>
    <row r="992">
      <c r="K992" s="1"/>
    </row>
    <row r="993">
      <c r="K993" s="1"/>
    </row>
    <row r="994">
      <c r="K994" s="1"/>
    </row>
    <row r="995">
      <c r="K995" s="1"/>
    </row>
    <row r="996">
      <c r="K996" s="1"/>
    </row>
    <row r="997">
      <c r="K997" s="1"/>
    </row>
    <row r="998">
      <c r="K998" s="1"/>
    </row>
    <row r="999">
      <c r="K999" s="1"/>
    </row>
    <row r="1000">
      <c r="K1000" s="1"/>
    </row>
  </sheetData>
  <mergeCells count="9">
    <mergeCell ref="L25:M25"/>
    <mergeCell ref="L26:M26"/>
    <mergeCell ref="B2:J3"/>
    <mergeCell ref="B6:J8"/>
    <mergeCell ref="I10:J10"/>
    <mergeCell ref="L11:M11"/>
    <mergeCell ref="L22:N22"/>
    <mergeCell ref="L23:M23"/>
    <mergeCell ref="L24:M2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sheetViews>
  <sheetFormatPr customHeight="1" defaultColWidth="12.63" defaultRowHeight="15.75"/>
  <cols>
    <col customWidth="1" min="3" max="3" width="15.75"/>
  </cols>
  <sheetData>
    <row r="1">
      <c r="A1" s="23" t="s">
        <v>118</v>
      </c>
      <c r="B1" s="24"/>
      <c r="C1" s="24"/>
      <c r="D1" s="24"/>
      <c r="E1" s="24"/>
      <c r="F1" s="24"/>
      <c r="G1" s="24"/>
      <c r="H1" s="24"/>
      <c r="I1" s="24"/>
      <c r="J1" s="24"/>
      <c r="K1" s="24"/>
      <c r="L1" s="24"/>
      <c r="M1" s="24"/>
      <c r="N1" s="24"/>
      <c r="O1" s="24"/>
      <c r="P1" s="24"/>
      <c r="Q1" s="24"/>
      <c r="R1" s="24"/>
      <c r="S1" s="24"/>
      <c r="T1" s="24"/>
      <c r="U1" s="24"/>
      <c r="V1" s="24"/>
      <c r="W1" s="24"/>
      <c r="X1" s="24"/>
    </row>
    <row r="2">
      <c r="A2" s="12"/>
      <c r="B2" s="12"/>
      <c r="C2" s="12"/>
      <c r="D2" s="12"/>
      <c r="E2" s="12"/>
      <c r="F2" s="12"/>
      <c r="G2" s="12"/>
      <c r="H2" s="12"/>
      <c r="I2" s="12" t="s">
        <v>119</v>
      </c>
      <c r="J2" s="12"/>
      <c r="K2" s="12"/>
      <c r="L2" s="12"/>
      <c r="M2" s="12"/>
      <c r="N2" s="12"/>
      <c r="O2" s="12"/>
      <c r="P2" s="12"/>
      <c r="Q2" s="12"/>
      <c r="R2" s="12"/>
      <c r="S2" s="12"/>
      <c r="T2" s="12"/>
      <c r="U2" s="12"/>
      <c r="V2" s="12"/>
      <c r="W2" s="12"/>
      <c r="X2" s="12"/>
    </row>
    <row r="3">
      <c r="A3" s="12"/>
      <c r="B3" s="25">
        <v>0.7864</v>
      </c>
      <c r="C3" s="12" t="s">
        <v>120</v>
      </c>
      <c r="D3" s="26" t="s">
        <v>121</v>
      </c>
      <c r="E3" s="27">
        <f>COUNT(B3:B1012)</f>
        <v>100</v>
      </c>
      <c r="F3" s="12"/>
      <c r="G3" s="12"/>
      <c r="H3" s="12"/>
      <c r="I3" s="28" t="s">
        <v>122</v>
      </c>
      <c r="J3" s="29">
        <v>0.05</v>
      </c>
      <c r="K3" s="30">
        <v>0.05</v>
      </c>
      <c r="L3" s="12"/>
      <c r="M3" s="31" t="s">
        <v>123</v>
      </c>
      <c r="O3" s="32">
        <f>1-K3</f>
        <v>0.95</v>
      </c>
      <c r="P3" s="12"/>
      <c r="Q3" s="12"/>
      <c r="R3" s="12"/>
      <c r="S3" s="12"/>
      <c r="T3" s="12"/>
      <c r="U3" s="12"/>
      <c r="V3" s="12"/>
      <c r="W3" s="12"/>
      <c r="X3" s="12"/>
    </row>
    <row r="4">
      <c r="A4" s="33"/>
      <c r="B4" s="25">
        <v>0.8679</v>
      </c>
      <c r="C4" s="34" t="s">
        <v>124</v>
      </c>
      <c r="D4" s="26" t="s">
        <v>125</v>
      </c>
      <c r="E4" s="27">
        <f>(SUM(B3:B1012))/$E$3</f>
        <v>0.548556</v>
      </c>
      <c r="F4" s="35">
        <f>AVERAGE(B3:B1012)</f>
        <v>0.548556</v>
      </c>
      <c r="G4" s="33"/>
      <c r="H4" s="33"/>
      <c r="I4" s="36" t="s">
        <v>126</v>
      </c>
      <c r="J4" s="35">
        <f>K3/2</f>
        <v>0.025</v>
      </c>
      <c r="K4" s="12"/>
      <c r="L4" s="12"/>
      <c r="M4" s="12"/>
      <c r="N4" s="12"/>
      <c r="O4" s="12"/>
      <c r="P4" s="12"/>
      <c r="Q4" s="37"/>
      <c r="R4" s="12"/>
      <c r="S4" s="12"/>
      <c r="T4" s="12"/>
      <c r="U4" s="12"/>
      <c r="V4" s="12"/>
      <c r="W4" s="12"/>
      <c r="X4" s="12"/>
    </row>
    <row r="5">
      <c r="A5" s="12"/>
      <c r="B5" s="25">
        <v>0.2069</v>
      </c>
      <c r="C5" s="12" t="s">
        <v>127</v>
      </c>
      <c r="D5" s="38" t="s">
        <v>128</v>
      </c>
      <c r="E5" s="39">
        <f>ROUND(F5,3)</f>
        <v>1.96</v>
      </c>
      <c r="F5" s="40">
        <f>NORMSINV(J5)</f>
        <v>1.959963986</v>
      </c>
      <c r="G5" s="12"/>
      <c r="H5" s="12"/>
      <c r="I5" s="28" t="s">
        <v>129</v>
      </c>
      <c r="J5" s="41">
        <f>1-J4</f>
        <v>0.975</v>
      </c>
      <c r="K5" s="12"/>
      <c r="L5" s="42" t="s">
        <v>130</v>
      </c>
      <c r="M5" s="12"/>
      <c r="N5" s="12"/>
      <c r="O5" s="12"/>
      <c r="P5" s="12"/>
      <c r="Q5" s="12"/>
      <c r="R5" s="12"/>
      <c r="S5" s="12"/>
      <c r="T5" s="12"/>
      <c r="U5" s="12"/>
      <c r="V5" s="12"/>
      <c r="W5" s="12"/>
      <c r="X5" s="12"/>
    </row>
    <row r="6">
      <c r="A6" s="12"/>
      <c r="B6" s="25">
        <v>0.0153</v>
      </c>
      <c r="C6" s="12"/>
      <c r="D6" s="12"/>
      <c r="E6" s="12"/>
      <c r="F6" s="12"/>
      <c r="G6" s="12"/>
      <c r="H6" s="12"/>
      <c r="I6" s="12"/>
      <c r="J6" s="12"/>
      <c r="K6" s="12"/>
      <c r="L6" s="12"/>
      <c r="M6" s="12"/>
      <c r="N6" s="12"/>
      <c r="O6" s="12"/>
      <c r="P6" s="12"/>
      <c r="Q6" s="12"/>
      <c r="R6" s="12"/>
      <c r="S6" s="12"/>
      <c r="T6" s="12"/>
      <c r="U6" s="12"/>
      <c r="V6" s="12"/>
      <c r="W6" s="12"/>
      <c r="X6" s="12"/>
    </row>
    <row r="7">
      <c r="A7" s="12"/>
      <c r="B7" s="25">
        <v>0.8145</v>
      </c>
      <c r="C7" s="12"/>
      <c r="D7" s="32" t="s">
        <v>131</v>
      </c>
      <c r="E7" s="43">
        <f>(1/2)-(E5*(1/(SQRT(12*E3))))</f>
        <v>0.4434196736</v>
      </c>
      <c r="F7" s="12"/>
      <c r="G7" s="12"/>
      <c r="H7" s="12"/>
      <c r="I7" s="12"/>
      <c r="J7" s="12"/>
      <c r="K7" s="12"/>
      <c r="L7" s="12"/>
      <c r="M7" s="12"/>
      <c r="N7" s="12"/>
      <c r="O7" s="12"/>
      <c r="P7" s="12"/>
      <c r="Q7" s="12"/>
      <c r="R7" s="12"/>
      <c r="S7" s="12"/>
      <c r="T7" s="12"/>
      <c r="U7" s="12"/>
      <c r="V7" s="12"/>
      <c r="W7" s="12"/>
      <c r="X7" s="12"/>
    </row>
    <row r="8">
      <c r="A8" s="12"/>
      <c r="B8" s="25">
        <v>0.3639</v>
      </c>
      <c r="C8" s="12"/>
      <c r="D8" s="12"/>
      <c r="E8" s="12"/>
      <c r="F8" s="12"/>
      <c r="G8" s="12"/>
      <c r="H8" s="12"/>
      <c r="I8" s="12"/>
      <c r="J8" s="12"/>
      <c r="K8" s="12"/>
      <c r="L8" s="12"/>
      <c r="M8" s="33"/>
      <c r="N8" s="12"/>
      <c r="O8" s="12"/>
      <c r="P8" s="12"/>
      <c r="Q8" s="12"/>
      <c r="R8" s="12"/>
      <c r="S8" s="12"/>
      <c r="T8" s="12"/>
      <c r="U8" s="12"/>
      <c r="V8" s="12"/>
      <c r="W8" s="12"/>
      <c r="X8" s="12"/>
    </row>
    <row r="9">
      <c r="A9" s="12"/>
      <c r="B9" s="25">
        <v>0.374</v>
      </c>
      <c r="C9" s="12"/>
      <c r="D9" s="32" t="s">
        <v>132</v>
      </c>
      <c r="E9" s="43">
        <f>(1/2)+(E5*(1/(SQRT(12*E3))))</f>
        <v>0.5565803264</v>
      </c>
      <c r="F9" s="12"/>
      <c r="G9" s="12"/>
      <c r="H9" s="12"/>
      <c r="I9" s="12"/>
      <c r="K9" s="12"/>
      <c r="L9" s="12"/>
      <c r="M9" s="12"/>
      <c r="N9" s="12"/>
      <c r="O9" s="12"/>
      <c r="P9" s="12"/>
      <c r="Q9" s="12"/>
      <c r="R9" s="33"/>
      <c r="S9" s="12"/>
      <c r="T9" s="33"/>
      <c r="U9" s="12"/>
      <c r="V9" s="33"/>
      <c r="W9" s="12"/>
      <c r="X9" s="12"/>
    </row>
    <row r="10">
      <c r="A10" s="12"/>
      <c r="B10" s="25">
        <v>0.9117</v>
      </c>
      <c r="C10" s="12"/>
      <c r="D10" s="12"/>
      <c r="E10" s="12"/>
      <c r="F10" s="12"/>
      <c r="G10" s="12"/>
      <c r="H10" s="12"/>
      <c r="I10" s="12"/>
      <c r="J10" s="12"/>
      <c r="K10" s="12"/>
      <c r="L10" s="12"/>
      <c r="M10" s="33"/>
      <c r="N10" s="12"/>
      <c r="O10" s="12"/>
      <c r="P10" s="12"/>
      <c r="Q10" s="12"/>
      <c r="R10" s="12"/>
      <c r="S10" s="12"/>
      <c r="T10" s="12"/>
      <c r="U10" s="12"/>
      <c r="V10" s="12"/>
      <c r="W10" s="12"/>
      <c r="X10" s="12"/>
    </row>
    <row r="11">
      <c r="A11" s="12"/>
      <c r="B11" s="25">
        <v>0.5389</v>
      </c>
      <c r="C11" s="12"/>
      <c r="D11" s="12"/>
      <c r="E11" s="12"/>
      <c r="F11" s="12"/>
      <c r="G11" s="12" t="s">
        <v>133</v>
      </c>
      <c r="H11" s="12"/>
      <c r="I11" s="12"/>
      <c r="J11" s="12"/>
      <c r="K11" s="12"/>
      <c r="L11" s="12"/>
      <c r="M11" s="12"/>
      <c r="N11" s="12"/>
      <c r="O11" s="12"/>
      <c r="P11" s="12"/>
      <c r="Q11" s="12"/>
      <c r="R11" s="12"/>
      <c r="S11" s="12"/>
      <c r="T11" s="12"/>
      <c r="U11" s="12"/>
      <c r="V11" s="12"/>
      <c r="W11" s="12"/>
      <c r="X11" s="12"/>
    </row>
    <row r="12">
      <c r="A12" s="12"/>
      <c r="B12" s="25">
        <v>0.691</v>
      </c>
      <c r="C12" s="12"/>
      <c r="D12" s="12"/>
      <c r="E12" s="12"/>
      <c r="F12" s="12"/>
      <c r="G12" s="12"/>
      <c r="H12" s="43">
        <v>0.4434196736194167</v>
      </c>
      <c r="I12" s="44" t="s">
        <v>134</v>
      </c>
      <c r="J12" s="39">
        <f>ROUND(E4,3)</f>
        <v>0.549</v>
      </c>
      <c r="K12" s="44" t="s">
        <v>134</v>
      </c>
      <c r="L12" s="43">
        <v>0.5565803263805833</v>
      </c>
      <c r="M12" s="12"/>
      <c r="N12" s="12"/>
      <c r="O12" s="12"/>
      <c r="P12" s="12"/>
      <c r="Q12" s="12"/>
      <c r="R12" s="12"/>
      <c r="S12" s="12"/>
      <c r="T12" s="12"/>
      <c r="U12" s="12"/>
      <c r="V12" s="12"/>
      <c r="W12" s="12"/>
      <c r="X12" s="12"/>
    </row>
    <row r="13">
      <c r="A13" s="12"/>
      <c r="B13" s="25">
        <v>0.7888</v>
      </c>
      <c r="C13" s="12"/>
      <c r="D13" s="12"/>
      <c r="E13" s="12"/>
      <c r="F13" s="12"/>
      <c r="G13" s="12"/>
      <c r="H13" s="12"/>
      <c r="I13" s="12"/>
      <c r="J13" s="12"/>
      <c r="K13" s="12"/>
      <c r="L13" s="12"/>
      <c r="M13" s="12"/>
      <c r="N13" s="12"/>
      <c r="O13" s="12"/>
      <c r="P13" s="12"/>
      <c r="Q13" s="12"/>
      <c r="R13" s="12"/>
      <c r="S13" s="12"/>
      <c r="T13" s="12"/>
      <c r="U13" s="12"/>
      <c r="V13" s="12"/>
      <c r="W13" s="12"/>
      <c r="X13" s="12"/>
    </row>
    <row r="14">
      <c r="A14" s="12"/>
      <c r="B14" s="25">
        <v>0.9957</v>
      </c>
      <c r="C14" s="12"/>
      <c r="D14" s="42" t="s">
        <v>135</v>
      </c>
      <c r="V14" s="12"/>
      <c r="W14" s="12"/>
      <c r="X14" s="12"/>
    </row>
    <row r="15">
      <c r="A15" s="12"/>
      <c r="B15" s="25">
        <v>0.011</v>
      </c>
      <c r="C15" s="45"/>
      <c r="D15" s="45"/>
      <c r="E15" s="12"/>
      <c r="F15" s="12"/>
      <c r="G15" s="12"/>
      <c r="H15" s="12"/>
      <c r="I15" s="12"/>
      <c r="J15" s="45"/>
      <c r="K15" s="45"/>
      <c r="L15" s="12"/>
      <c r="M15" s="12"/>
      <c r="N15" s="12"/>
      <c r="O15" s="12"/>
      <c r="P15" s="12"/>
      <c r="Q15" s="12"/>
      <c r="R15" s="12"/>
      <c r="S15" s="12"/>
      <c r="T15" s="12"/>
      <c r="U15" s="12"/>
      <c r="V15" s="12"/>
      <c r="W15" s="12"/>
      <c r="X15" s="12"/>
    </row>
    <row r="16">
      <c r="A16" s="12"/>
      <c r="B16" s="25">
        <v>0.5856</v>
      </c>
      <c r="C16" s="45"/>
      <c r="D16" s="45"/>
      <c r="E16" s="45"/>
      <c r="F16" s="45"/>
      <c r="G16" s="45"/>
      <c r="H16" s="45"/>
      <c r="I16" s="45"/>
      <c r="J16" s="45"/>
      <c r="K16" s="45"/>
      <c r="L16" s="12"/>
      <c r="M16" s="12"/>
      <c r="N16" s="12"/>
      <c r="O16" s="12"/>
      <c r="P16" s="12"/>
      <c r="Q16" s="12"/>
      <c r="R16" s="12"/>
      <c r="S16" s="12"/>
      <c r="T16" s="12"/>
      <c r="U16" s="12"/>
      <c r="V16" s="12"/>
      <c r="W16" s="12"/>
      <c r="X16" s="12"/>
    </row>
    <row r="17">
      <c r="A17" s="12"/>
      <c r="B17" s="25">
        <v>0.1773</v>
      </c>
      <c r="C17" s="45"/>
      <c r="D17" s="45"/>
      <c r="E17" s="45"/>
      <c r="F17" s="45"/>
      <c r="G17" s="45"/>
      <c r="H17" s="45"/>
      <c r="I17" s="45"/>
      <c r="J17" s="45"/>
      <c r="K17" s="45"/>
      <c r="L17" s="12"/>
      <c r="M17" s="12"/>
      <c r="N17" s="12"/>
      <c r="O17" s="12"/>
      <c r="P17" s="12"/>
      <c r="Q17" s="12"/>
      <c r="R17" s="12"/>
      <c r="S17" s="12"/>
      <c r="T17" s="12"/>
      <c r="U17" s="12"/>
      <c r="V17" s="12"/>
      <c r="W17" s="12"/>
      <c r="X17" s="12"/>
    </row>
    <row r="18">
      <c r="A18" s="12"/>
      <c r="B18" s="25">
        <v>0.4394</v>
      </c>
      <c r="C18" s="12"/>
      <c r="D18" s="12"/>
      <c r="E18" s="12"/>
      <c r="F18" s="12"/>
      <c r="G18" s="12"/>
      <c r="H18" s="12"/>
      <c r="I18" s="12"/>
      <c r="J18" s="12"/>
      <c r="K18" s="12"/>
      <c r="L18" s="12"/>
      <c r="M18" s="12"/>
      <c r="N18" s="12"/>
      <c r="O18" s="12"/>
      <c r="P18" s="12"/>
      <c r="Q18" s="12"/>
      <c r="R18" s="12"/>
      <c r="S18" s="12"/>
      <c r="T18" s="12"/>
      <c r="U18" s="12"/>
      <c r="V18" s="12"/>
      <c r="W18" s="12"/>
      <c r="X18" s="12"/>
    </row>
    <row r="19">
      <c r="A19" s="12"/>
      <c r="B19" s="25">
        <v>0.3936</v>
      </c>
      <c r="C19" s="12"/>
      <c r="D19" s="12"/>
      <c r="E19" s="12"/>
      <c r="F19" s="12"/>
      <c r="G19" s="12"/>
      <c r="H19" s="12"/>
      <c r="I19" s="12"/>
      <c r="J19" s="12"/>
      <c r="K19" s="12"/>
      <c r="L19" s="12"/>
      <c r="M19" s="12"/>
      <c r="N19" s="12"/>
      <c r="O19" s="12"/>
      <c r="P19" s="12"/>
      <c r="Q19" s="12"/>
      <c r="R19" s="12"/>
      <c r="S19" s="12"/>
      <c r="T19" s="12"/>
      <c r="U19" s="12"/>
      <c r="V19" s="12"/>
      <c r="W19" s="12"/>
      <c r="X19" s="12"/>
    </row>
    <row r="20">
      <c r="A20" s="12"/>
      <c r="B20" s="25">
        <v>0.9552</v>
      </c>
      <c r="C20" s="12"/>
      <c r="D20" s="12"/>
      <c r="E20" s="12"/>
      <c r="F20" s="12"/>
      <c r="G20" s="12"/>
      <c r="H20" s="12"/>
      <c r="I20" s="12"/>
      <c r="J20" s="12"/>
      <c r="K20" s="12"/>
      <c r="L20" s="12"/>
      <c r="M20" s="12"/>
      <c r="N20" s="12"/>
      <c r="O20" s="12"/>
      <c r="P20" s="12"/>
      <c r="Q20" s="12"/>
      <c r="R20" s="12"/>
      <c r="S20" s="12"/>
      <c r="T20" s="12"/>
      <c r="U20" s="12"/>
      <c r="V20" s="12"/>
      <c r="W20" s="12"/>
      <c r="X20" s="12"/>
    </row>
    <row r="21">
      <c r="A21" s="12"/>
      <c r="B21" s="25">
        <v>0.8548</v>
      </c>
      <c r="C21" s="12"/>
      <c r="D21" s="12"/>
      <c r="E21" s="12"/>
      <c r="F21" s="12"/>
      <c r="G21" s="12"/>
      <c r="H21" s="12"/>
      <c r="I21" s="12"/>
      <c r="J21" s="12"/>
      <c r="K21" s="12"/>
      <c r="L21" s="12"/>
      <c r="M21" s="12"/>
      <c r="N21" s="12"/>
      <c r="O21" s="12"/>
      <c r="P21" s="12"/>
      <c r="Q21" s="12"/>
      <c r="R21" s="12"/>
      <c r="S21" s="12"/>
      <c r="T21" s="12"/>
      <c r="U21" s="12"/>
      <c r="V21" s="12"/>
      <c r="W21" s="12"/>
      <c r="X21" s="12"/>
    </row>
    <row r="22">
      <c r="A22" s="12"/>
      <c r="B22" s="25">
        <v>0.5095</v>
      </c>
      <c r="C22" s="12"/>
      <c r="D22" s="12"/>
      <c r="E22" s="12"/>
      <c r="F22" s="12"/>
      <c r="G22" s="12"/>
      <c r="H22" s="12"/>
      <c r="I22" s="12"/>
      <c r="J22" s="12"/>
      <c r="K22" s="12"/>
      <c r="L22" s="12"/>
      <c r="M22" s="12"/>
      <c r="N22" s="12"/>
      <c r="O22" s="12"/>
      <c r="P22" s="12"/>
      <c r="Q22" s="12"/>
      <c r="R22" s="12"/>
      <c r="S22" s="12"/>
      <c r="T22" s="12"/>
      <c r="U22" s="12"/>
      <c r="V22" s="12"/>
      <c r="W22" s="12"/>
      <c r="X22" s="12"/>
    </row>
    <row r="23">
      <c r="A23" s="12"/>
      <c r="B23" s="25">
        <v>0.1257</v>
      </c>
      <c r="C23" s="12"/>
      <c r="D23" s="12"/>
      <c r="E23" s="12"/>
      <c r="F23" s="12"/>
      <c r="G23" s="12"/>
      <c r="H23" s="12"/>
      <c r="I23" s="12"/>
      <c r="J23" s="12"/>
      <c r="K23" s="12"/>
      <c r="L23" s="12"/>
      <c r="M23" s="12"/>
      <c r="N23" s="12"/>
      <c r="O23" s="12"/>
      <c r="P23" s="12"/>
      <c r="Q23" s="12"/>
      <c r="R23" s="12"/>
      <c r="S23" s="12"/>
      <c r="T23" s="12"/>
      <c r="U23" s="12"/>
      <c r="V23" s="12"/>
      <c r="W23" s="12"/>
      <c r="X23" s="12"/>
    </row>
    <row r="24">
      <c r="A24" s="12"/>
      <c r="B24" s="25">
        <v>0.6922</v>
      </c>
      <c r="C24" s="12"/>
      <c r="D24" s="12"/>
      <c r="E24" s="12"/>
      <c r="F24" s="12"/>
      <c r="G24" s="12"/>
      <c r="H24" s="12"/>
      <c r="I24" s="12"/>
      <c r="J24" s="12"/>
      <c r="K24" s="12"/>
      <c r="L24" s="12"/>
      <c r="M24" s="12"/>
      <c r="N24" s="12"/>
      <c r="O24" s="12"/>
      <c r="P24" s="12"/>
      <c r="Q24" s="12"/>
      <c r="R24" s="12"/>
      <c r="S24" s="12"/>
      <c r="T24" s="12"/>
      <c r="U24" s="12"/>
      <c r="V24" s="12"/>
      <c r="W24" s="12"/>
      <c r="X24" s="12"/>
    </row>
    <row r="25">
      <c r="A25" s="12"/>
      <c r="B25" s="25">
        <v>0.8527</v>
      </c>
      <c r="C25" s="12"/>
      <c r="D25" s="12"/>
      <c r="E25" s="12"/>
      <c r="F25" s="12"/>
      <c r="G25" s="12"/>
      <c r="H25" s="12"/>
      <c r="I25" s="12"/>
      <c r="J25" s="12"/>
      <c r="K25" s="12"/>
      <c r="L25" s="12"/>
      <c r="M25" s="12"/>
      <c r="N25" s="12"/>
      <c r="O25" s="12"/>
      <c r="P25" s="12"/>
      <c r="Q25" s="12"/>
      <c r="R25" s="12"/>
      <c r="S25" s="12"/>
      <c r="T25" s="12"/>
      <c r="U25" s="12"/>
      <c r="V25" s="12"/>
      <c r="W25" s="12"/>
      <c r="X25" s="12"/>
    </row>
    <row r="26">
      <c r="A26" s="12"/>
      <c r="B26" s="25">
        <v>0.3977</v>
      </c>
      <c r="C26" s="12"/>
      <c r="D26" s="12"/>
      <c r="E26" s="12"/>
      <c r="F26" s="12"/>
      <c r="G26" s="12"/>
      <c r="H26" s="12"/>
      <c r="I26" s="12"/>
      <c r="J26" s="12"/>
      <c r="K26" s="12"/>
      <c r="L26" s="12"/>
      <c r="M26" s="12"/>
      <c r="N26" s="12"/>
      <c r="O26" s="12"/>
      <c r="P26" s="12"/>
      <c r="Q26" s="12"/>
      <c r="R26" s="12"/>
      <c r="S26" s="12"/>
      <c r="T26" s="12"/>
      <c r="U26" s="12"/>
      <c r="V26" s="12"/>
      <c r="W26" s="12"/>
      <c r="X26" s="12"/>
    </row>
    <row r="27">
      <c r="A27" s="12"/>
      <c r="B27" s="25">
        <v>0.1735</v>
      </c>
      <c r="C27" s="12"/>
      <c r="D27" s="12"/>
      <c r="E27" s="12"/>
      <c r="F27" s="12"/>
      <c r="G27" s="12"/>
      <c r="H27" s="12"/>
      <c r="I27" s="12"/>
      <c r="J27" s="12"/>
      <c r="K27" s="12"/>
      <c r="L27" s="12"/>
      <c r="M27" s="12"/>
      <c r="N27" s="12"/>
      <c r="O27" s="12"/>
      <c r="P27" s="12"/>
      <c r="Q27" s="12"/>
      <c r="R27" s="12"/>
      <c r="S27" s="12"/>
      <c r="T27" s="12"/>
      <c r="U27" s="12"/>
      <c r="V27" s="12"/>
      <c r="W27" s="12"/>
      <c r="X27" s="12"/>
    </row>
    <row r="28">
      <c r="A28" s="12"/>
      <c r="B28" s="25">
        <v>0.2371</v>
      </c>
      <c r="C28" s="12"/>
      <c r="D28" s="12"/>
      <c r="E28" s="12"/>
      <c r="F28" s="12"/>
      <c r="G28" s="12"/>
      <c r="H28" s="12"/>
      <c r="I28" s="12"/>
      <c r="J28" s="12"/>
      <c r="K28" s="12"/>
      <c r="L28" s="12"/>
      <c r="M28" s="12"/>
      <c r="N28" s="12"/>
      <c r="O28" s="12"/>
      <c r="P28" s="12"/>
      <c r="Q28" s="12"/>
      <c r="R28" s="12"/>
      <c r="S28" s="12"/>
      <c r="T28" s="12"/>
      <c r="U28" s="12"/>
      <c r="V28" s="12"/>
      <c r="W28" s="12"/>
      <c r="X28" s="12"/>
    </row>
    <row r="29">
      <c r="A29" s="12"/>
      <c r="B29" s="25">
        <v>0.6232</v>
      </c>
      <c r="C29" s="12"/>
      <c r="D29" s="12"/>
      <c r="E29" s="12"/>
      <c r="F29" s="12"/>
      <c r="G29" s="12"/>
      <c r="H29" s="12"/>
      <c r="I29" s="12"/>
      <c r="J29" s="12"/>
      <c r="K29" s="12"/>
      <c r="L29" s="12"/>
      <c r="M29" s="12"/>
      <c r="N29" s="12"/>
      <c r="O29" s="12"/>
      <c r="P29" s="12"/>
      <c r="Q29" s="12"/>
      <c r="R29" s="12"/>
      <c r="S29" s="12"/>
      <c r="T29" s="12"/>
      <c r="U29" s="12"/>
      <c r="V29" s="12"/>
      <c r="W29" s="12"/>
      <c r="X29" s="12"/>
    </row>
    <row r="30">
      <c r="A30" s="12"/>
      <c r="B30" s="25">
        <v>0.1791</v>
      </c>
      <c r="C30" s="12"/>
      <c r="D30" s="12"/>
      <c r="E30" s="12"/>
      <c r="F30" s="12"/>
      <c r="G30" s="12"/>
      <c r="H30" s="12"/>
      <c r="I30" s="12"/>
      <c r="J30" s="12"/>
      <c r="K30" s="12"/>
      <c r="L30" s="12"/>
      <c r="M30" s="12"/>
      <c r="N30" s="12"/>
      <c r="O30" s="12"/>
      <c r="P30" s="12"/>
      <c r="Q30" s="12"/>
      <c r="R30" s="12"/>
      <c r="S30" s="12"/>
      <c r="T30" s="12"/>
      <c r="U30" s="12"/>
      <c r="V30" s="12"/>
      <c r="W30" s="12"/>
      <c r="X30" s="12"/>
    </row>
    <row r="31">
      <c r="A31" s="12"/>
      <c r="B31" s="25">
        <v>0.5352</v>
      </c>
      <c r="C31" s="12"/>
      <c r="D31" s="12"/>
      <c r="E31" s="12"/>
      <c r="F31" s="12"/>
      <c r="G31" s="12"/>
      <c r="H31" s="12"/>
      <c r="I31" s="12"/>
      <c r="J31" s="12"/>
      <c r="K31" s="12"/>
      <c r="L31" s="12"/>
      <c r="M31" s="12"/>
      <c r="N31" s="12"/>
      <c r="O31" s="12"/>
      <c r="P31" s="12"/>
      <c r="Q31" s="12"/>
      <c r="R31" s="12"/>
      <c r="S31" s="12"/>
      <c r="T31" s="12"/>
      <c r="U31" s="12"/>
      <c r="V31" s="12"/>
      <c r="W31" s="12"/>
      <c r="X31" s="12"/>
    </row>
    <row r="32">
      <c r="A32" s="12"/>
      <c r="B32" s="25">
        <v>0.494</v>
      </c>
      <c r="C32" s="12"/>
      <c r="D32" s="12"/>
      <c r="E32" s="12"/>
      <c r="F32" s="12"/>
      <c r="G32" s="12"/>
      <c r="H32" s="12"/>
      <c r="I32" s="12"/>
      <c r="J32" s="12"/>
      <c r="K32" s="12"/>
      <c r="L32" s="12"/>
      <c r="M32" s="12"/>
      <c r="N32" s="12"/>
      <c r="O32" s="12"/>
      <c r="P32" s="12"/>
      <c r="Q32" s="12"/>
      <c r="R32" s="12"/>
      <c r="S32" s="12"/>
      <c r="T32" s="12"/>
      <c r="U32" s="12"/>
      <c r="V32" s="12"/>
      <c r="W32" s="12"/>
      <c r="X32" s="12"/>
    </row>
    <row r="33">
      <c r="A33" s="12"/>
      <c r="B33" s="25">
        <v>0.3005</v>
      </c>
      <c r="C33" s="12"/>
      <c r="D33" s="12"/>
      <c r="E33" s="12"/>
      <c r="F33" s="12"/>
      <c r="G33" s="12"/>
      <c r="H33" s="12"/>
      <c r="I33" s="12"/>
      <c r="J33" s="12"/>
      <c r="K33" s="12"/>
      <c r="L33" s="12"/>
      <c r="M33" s="12"/>
      <c r="N33" s="12"/>
      <c r="O33" s="12"/>
      <c r="P33" s="12"/>
      <c r="Q33" s="12"/>
      <c r="R33" s="12"/>
      <c r="S33" s="12"/>
      <c r="T33" s="12"/>
      <c r="U33" s="12"/>
      <c r="V33" s="12"/>
      <c r="W33" s="12"/>
      <c r="X33" s="12"/>
    </row>
    <row r="34">
      <c r="A34" s="12"/>
      <c r="B34" s="25">
        <v>0.9986</v>
      </c>
      <c r="C34" s="12"/>
      <c r="D34" s="12"/>
      <c r="E34" s="12"/>
      <c r="F34" s="12"/>
      <c r="G34" s="12"/>
      <c r="H34" s="12"/>
      <c r="I34" s="12"/>
      <c r="J34" s="12"/>
      <c r="K34" s="12"/>
      <c r="L34" s="12"/>
      <c r="M34" s="12"/>
      <c r="N34" s="12"/>
      <c r="O34" s="12"/>
      <c r="P34" s="12"/>
      <c r="Q34" s="12"/>
      <c r="R34" s="12"/>
      <c r="S34" s="12"/>
      <c r="T34" s="12"/>
      <c r="U34" s="12"/>
      <c r="V34" s="12"/>
      <c r="W34" s="12"/>
      <c r="X34" s="12"/>
    </row>
    <row r="35">
      <c r="A35" s="12"/>
      <c r="B35" s="25">
        <v>0.1654</v>
      </c>
      <c r="C35" s="12"/>
      <c r="D35" s="12"/>
      <c r="E35" s="12"/>
      <c r="F35" s="12"/>
      <c r="G35" s="12"/>
      <c r="H35" s="12"/>
      <c r="I35" s="12"/>
      <c r="J35" s="12"/>
      <c r="K35" s="12"/>
      <c r="L35" s="12"/>
      <c r="M35" s="12"/>
      <c r="N35" s="12"/>
      <c r="O35" s="12"/>
      <c r="P35" s="12"/>
      <c r="Q35" s="12"/>
      <c r="R35" s="12"/>
      <c r="S35" s="12"/>
      <c r="T35" s="12"/>
      <c r="U35" s="12"/>
      <c r="V35" s="12"/>
      <c r="W35" s="12"/>
      <c r="X35" s="12"/>
    </row>
    <row r="36">
      <c r="A36" s="12"/>
      <c r="B36" s="25">
        <v>0.8058</v>
      </c>
      <c r="C36" s="12"/>
      <c r="D36" s="12"/>
      <c r="E36" s="12"/>
      <c r="F36" s="12"/>
      <c r="G36" s="12"/>
      <c r="H36" s="12"/>
      <c r="I36" s="12"/>
      <c r="J36" s="12"/>
      <c r="K36" s="12"/>
      <c r="L36" s="12"/>
      <c r="M36" s="12"/>
      <c r="N36" s="12"/>
      <c r="O36" s="12"/>
      <c r="P36" s="12"/>
      <c r="Q36" s="12"/>
      <c r="R36" s="12"/>
      <c r="S36" s="12"/>
      <c r="T36" s="12"/>
      <c r="U36" s="12"/>
      <c r="V36" s="12"/>
      <c r="W36" s="12"/>
      <c r="X36" s="12"/>
    </row>
    <row r="37">
      <c r="A37" s="12"/>
      <c r="B37" s="25">
        <v>0.9007</v>
      </c>
      <c r="C37" s="12"/>
      <c r="D37" s="12"/>
      <c r="E37" s="12"/>
      <c r="F37" s="12"/>
      <c r="G37" s="12"/>
      <c r="H37" s="12"/>
      <c r="I37" s="12"/>
      <c r="J37" s="12"/>
      <c r="K37" s="12"/>
      <c r="L37" s="12"/>
      <c r="M37" s="12"/>
      <c r="N37" s="12"/>
      <c r="O37" s="12"/>
      <c r="P37" s="12"/>
      <c r="Q37" s="12"/>
      <c r="R37" s="12"/>
      <c r="S37" s="12"/>
      <c r="T37" s="12"/>
      <c r="U37" s="12"/>
      <c r="V37" s="12"/>
      <c r="W37" s="12"/>
      <c r="X37" s="12"/>
    </row>
    <row r="38">
      <c r="A38" s="12"/>
      <c r="B38" s="25">
        <v>0.9532</v>
      </c>
      <c r="C38" s="12"/>
      <c r="D38" s="12"/>
      <c r="E38" s="12"/>
      <c r="F38" s="12"/>
      <c r="G38" s="12"/>
      <c r="H38" s="12"/>
      <c r="I38" s="12"/>
      <c r="J38" s="12"/>
      <c r="K38" s="12"/>
      <c r="L38" s="12"/>
      <c r="M38" s="12"/>
      <c r="N38" s="12"/>
      <c r="O38" s="12"/>
      <c r="P38" s="12"/>
      <c r="Q38" s="12"/>
      <c r="R38" s="12"/>
      <c r="S38" s="12"/>
      <c r="T38" s="12"/>
      <c r="U38" s="12"/>
      <c r="V38" s="12"/>
      <c r="W38" s="12"/>
      <c r="X38" s="12"/>
    </row>
    <row r="39">
      <c r="A39" s="12"/>
      <c r="B39" s="25">
        <v>0.7483</v>
      </c>
      <c r="C39" s="12"/>
      <c r="D39" s="12"/>
      <c r="E39" s="12"/>
      <c r="F39" s="12"/>
      <c r="G39" s="12"/>
      <c r="H39" s="12"/>
      <c r="I39" s="12"/>
      <c r="J39" s="12"/>
      <c r="K39" s="12"/>
      <c r="L39" s="12"/>
      <c r="M39" s="12"/>
      <c r="N39" s="12"/>
      <c r="O39" s="12"/>
      <c r="P39" s="12"/>
      <c r="Q39" s="12"/>
      <c r="R39" s="12"/>
      <c r="S39" s="12"/>
      <c r="T39" s="12"/>
      <c r="U39" s="12"/>
      <c r="V39" s="12"/>
      <c r="W39" s="12"/>
      <c r="X39" s="12"/>
    </row>
    <row r="40">
      <c r="A40" s="12"/>
      <c r="B40" s="25">
        <v>0.8394</v>
      </c>
      <c r="C40" s="12"/>
      <c r="D40" s="12"/>
      <c r="E40" s="12"/>
      <c r="F40" s="12"/>
      <c r="G40" s="12"/>
      <c r="H40" s="12"/>
      <c r="I40" s="12"/>
      <c r="J40" s="12"/>
      <c r="K40" s="12"/>
      <c r="L40" s="12"/>
      <c r="M40" s="12"/>
      <c r="N40" s="12"/>
      <c r="O40" s="12"/>
      <c r="P40" s="12"/>
      <c r="Q40" s="12"/>
      <c r="R40" s="12"/>
      <c r="S40" s="12"/>
      <c r="T40" s="12"/>
      <c r="U40" s="12"/>
      <c r="V40" s="12"/>
      <c r="W40" s="12"/>
      <c r="X40" s="12"/>
    </row>
    <row r="41">
      <c r="A41" s="12"/>
      <c r="B41" s="25">
        <v>0.6896</v>
      </c>
      <c r="C41" s="12"/>
      <c r="D41" s="12"/>
      <c r="E41" s="12"/>
      <c r="F41" s="12"/>
      <c r="G41" s="12"/>
      <c r="H41" s="12"/>
      <c r="I41" s="12"/>
      <c r="J41" s="12"/>
      <c r="K41" s="12"/>
      <c r="L41" s="12"/>
      <c r="M41" s="12"/>
      <c r="N41" s="12"/>
      <c r="O41" s="12"/>
      <c r="P41" s="12"/>
      <c r="Q41" s="12"/>
      <c r="R41" s="12"/>
      <c r="S41" s="12"/>
      <c r="T41" s="12"/>
      <c r="U41" s="12"/>
      <c r="V41" s="12"/>
      <c r="W41" s="12"/>
      <c r="X41" s="12"/>
    </row>
    <row r="42">
      <c r="A42" s="12"/>
      <c r="B42" s="25">
        <v>0.7143</v>
      </c>
      <c r="C42" s="12"/>
      <c r="D42" s="12"/>
      <c r="E42" s="12"/>
      <c r="F42" s="12"/>
      <c r="G42" s="12"/>
      <c r="H42" s="12"/>
      <c r="I42" s="12"/>
      <c r="J42" s="12"/>
      <c r="K42" s="12"/>
      <c r="L42" s="12"/>
      <c r="M42" s="12"/>
      <c r="N42" s="12"/>
      <c r="O42" s="12"/>
      <c r="P42" s="12"/>
      <c r="Q42" s="12"/>
      <c r="R42" s="12"/>
      <c r="S42" s="12"/>
      <c r="T42" s="12"/>
      <c r="U42" s="12"/>
      <c r="V42" s="12"/>
      <c r="W42" s="12"/>
      <c r="X42" s="12"/>
    </row>
    <row r="43">
      <c r="A43" s="12"/>
      <c r="B43" s="25">
        <v>0.0293</v>
      </c>
      <c r="C43" s="12"/>
      <c r="D43" s="12"/>
      <c r="E43" s="12"/>
      <c r="F43" s="12"/>
      <c r="G43" s="12"/>
      <c r="H43" s="12"/>
      <c r="I43" s="12"/>
      <c r="J43" s="12"/>
      <c r="K43" s="12"/>
      <c r="L43" s="12"/>
      <c r="M43" s="12"/>
      <c r="N43" s="12"/>
      <c r="O43" s="12"/>
      <c r="P43" s="12"/>
      <c r="Q43" s="12"/>
      <c r="R43" s="12"/>
      <c r="S43" s="12"/>
      <c r="T43" s="12"/>
      <c r="U43" s="12"/>
      <c r="V43" s="12"/>
      <c r="W43" s="12"/>
      <c r="X43" s="12"/>
    </row>
    <row r="44">
      <c r="A44" s="12"/>
      <c r="B44" s="25">
        <v>0.5599</v>
      </c>
      <c r="C44" s="12"/>
      <c r="D44" s="12"/>
      <c r="E44" s="12"/>
      <c r="F44" s="12"/>
      <c r="G44" s="12"/>
      <c r="H44" s="12"/>
      <c r="I44" s="12"/>
      <c r="J44" s="12"/>
      <c r="K44" s="12"/>
      <c r="L44" s="12"/>
      <c r="M44" s="12"/>
      <c r="N44" s="12"/>
      <c r="O44" s="12"/>
      <c r="P44" s="12"/>
      <c r="Q44" s="12"/>
      <c r="R44" s="12"/>
      <c r="S44" s="12"/>
      <c r="T44" s="12"/>
      <c r="U44" s="12"/>
      <c r="V44" s="12"/>
      <c r="W44" s="12"/>
      <c r="X44" s="12"/>
    </row>
    <row r="45">
      <c r="A45" s="12"/>
      <c r="B45" s="25">
        <v>0.809</v>
      </c>
      <c r="C45" s="12"/>
      <c r="D45" s="12"/>
      <c r="E45" s="12"/>
      <c r="F45" s="12"/>
      <c r="G45" s="12"/>
      <c r="H45" s="12"/>
      <c r="I45" s="12"/>
      <c r="J45" s="12"/>
      <c r="K45" s="12"/>
      <c r="L45" s="12"/>
      <c r="M45" s="12"/>
      <c r="N45" s="12"/>
      <c r="O45" s="12"/>
      <c r="P45" s="12"/>
      <c r="Q45" s="12"/>
      <c r="R45" s="12"/>
      <c r="S45" s="12"/>
      <c r="T45" s="12"/>
      <c r="U45" s="12"/>
      <c r="V45" s="12"/>
      <c r="W45" s="12"/>
      <c r="X45" s="12"/>
    </row>
    <row r="46">
      <c r="A46" s="12"/>
      <c r="B46" s="25">
        <v>0.0711</v>
      </c>
      <c r="C46" s="12"/>
      <c r="D46" s="12"/>
      <c r="E46" s="12"/>
      <c r="F46" s="12"/>
      <c r="G46" s="12"/>
      <c r="H46" s="12"/>
      <c r="I46" s="12"/>
      <c r="J46" s="12"/>
      <c r="K46" s="12"/>
      <c r="L46" s="12"/>
      <c r="M46" s="12"/>
      <c r="N46" s="12"/>
      <c r="O46" s="12"/>
      <c r="P46" s="12"/>
      <c r="Q46" s="12"/>
      <c r="R46" s="12"/>
      <c r="S46" s="12"/>
      <c r="T46" s="12"/>
      <c r="U46" s="12"/>
      <c r="V46" s="12"/>
      <c r="W46" s="12"/>
      <c r="X46" s="12"/>
    </row>
    <row r="47">
      <c r="A47" s="12"/>
      <c r="B47" s="25">
        <v>0.7853</v>
      </c>
      <c r="C47" s="12"/>
      <c r="D47" s="12"/>
      <c r="E47" s="12"/>
      <c r="F47" s="12"/>
      <c r="G47" s="12"/>
      <c r="H47" s="12"/>
      <c r="I47" s="12"/>
      <c r="J47" s="12"/>
      <c r="K47" s="12"/>
      <c r="L47" s="12"/>
      <c r="M47" s="12"/>
      <c r="N47" s="12"/>
      <c r="O47" s="12"/>
      <c r="P47" s="12"/>
      <c r="Q47" s="12"/>
      <c r="R47" s="12"/>
      <c r="S47" s="12"/>
      <c r="T47" s="12"/>
      <c r="U47" s="12"/>
      <c r="V47" s="12"/>
      <c r="W47" s="12"/>
      <c r="X47" s="12"/>
    </row>
    <row r="48">
      <c r="A48" s="12"/>
      <c r="B48" s="25">
        <v>0.8093</v>
      </c>
      <c r="C48" s="12"/>
      <c r="D48" s="12"/>
      <c r="E48" s="12"/>
      <c r="F48" s="12"/>
      <c r="G48" s="12"/>
      <c r="H48" s="12"/>
      <c r="I48" s="12"/>
      <c r="J48" s="12"/>
      <c r="K48" s="12"/>
      <c r="L48" s="12"/>
      <c r="M48" s="12"/>
      <c r="N48" s="12"/>
      <c r="O48" s="12"/>
      <c r="P48" s="12"/>
      <c r="Q48" s="12"/>
      <c r="R48" s="12"/>
      <c r="S48" s="12"/>
      <c r="T48" s="12"/>
      <c r="U48" s="12"/>
      <c r="V48" s="12"/>
      <c r="W48" s="12"/>
      <c r="X48" s="12"/>
    </row>
    <row r="49">
      <c r="A49" s="12"/>
      <c r="B49" s="25">
        <v>0.0871</v>
      </c>
      <c r="C49" s="12"/>
      <c r="D49" s="12"/>
      <c r="E49" s="12"/>
      <c r="F49" s="12"/>
      <c r="G49" s="12"/>
      <c r="H49" s="12"/>
      <c r="I49" s="12"/>
      <c r="J49" s="12"/>
      <c r="K49" s="12"/>
      <c r="L49" s="12"/>
      <c r="M49" s="12"/>
      <c r="N49" s="12"/>
      <c r="O49" s="12"/>
      <c r="P49" s="12"/>
      <c r="Q49" s="12"/>
      <c r="R49" s="12"/>
      <c r="S49" s="12"/>
      <c r="T49" s="12"/>
      <c r="U49" s="12"/>
      <c r="V49" s="12"/>
      <c r="W49" s="12"/>
      <c r="X49" s="12"/>
    </row>
    <row r="50">
      <c r="A50" s="12"/>
      <c r="B50" s="25">
        <v>0.6372</v>
      </c>
      <c r="C50" s="12"/>
      <c r="D50" s="12"/>
      <c r="E50" s="12"/>
      <c r="F50" s="12"/>
      <c r="G50" s="12"/>
      <c r="H50" s="12"/>
      <c r="I50" s="12"/>
      <c r="J50" s="12"/>
      <c r="K50" s="12"/>
      <c r="L50" s="12"/>
      <c r="M50" s="12"/>
      <c r="N50" s="12"/>
      <c r="O50" s="12"/>
      <c r="P50" s="12"/>
      <c r="Q50" s="12"/>
      <c r="R50" s="12"/>
      <c r="S50" s="12"/>
      <c r="T50" s="12"/>
      <c r="U50" s="12"/>
      <c r="V50" s="12"/>
      <c r="W50" s="12"/>
      <c r="X50" s="12"/>
    </row>
    <row r="51">
      <c r="A51" s="12"/>
      <c r="B51" s="25">
        <v>0.9245</v>
      </c>
      <c r="C51" s="12"/>
      <c r="D51" s="12"/>
      <c r="E51" s="12"/>
      <c r="F51" s="12"/>
      <c r="G51" s="12"/>
      <c r="H51" s="12"/>
      <c r="I51" s="12"/>
      <c r="J51" s="12"/>
      <c r="K51" s="12"/>
      <c r="L51" s="12"/>
      <c r="M51" s="12"/>
      <c r="N51" s="12"/>
      <c r="O51" s="12"/>
      <c r="P51" s="12"/>
      <c r="Q51" s="12"/>
      <c r="R51" s="12"/>
      <c r="S51" s="12"/>
      <c r="T51" s="12"/>
      <c r="U51" s="12"/>
      <c r="V51" s="12"/>
      <c r="W51" s="12"/>
      <c r="X51" s="12"/>
    </row>
    <row r="52">
      <c r="A52" s="12"/>
      <c r="B52" s="25">
        <v>0.2203</v>
      </c>
      <c r="C52" s="12"/>
      <c r="D52" s="12"/>
      <c r="E52" s="12"/>
      <c r="F52" s="12"/>
      <c r="G52" s="12"/>
      <c r="H52" s="12"/>
      <c r="I52" s="12"/>
      <c r="J52" s="12"/>
      <c r="K52" s="12"/>
      <c r="L52" s="12"/>
      <c r="M52" s="12"/>
      <c r="N52" s="12"/>
      <c r="O52" s="12"/>
      <c r="P52" s="12"/>
      <c r="Q52" s="12"/>
      <c r="R52" s="12"/>
      <c r="S52" s="12"/>
      <c r="T52" s="12"/>
      <c r="U52" s="12"/>
      <c r="V52" s="12"/>
      <c r="W52" s="12"/>
      <c r="X52" s="12"/>
    </row>
    <row r="53">
      <c r="A53" s="12"/>
      <c r="B53" s="25">
        <v>0.7287</v>
      </c>
      <c r="C53" s="12"/>
      <c r="D53" s="12"/>
      <c r="E53" s="12"/>
      <c r="F53" s="12"/>
      <c r="G53" s="12"/>
      <c r="H53" s="12"/>
      <c r="I53" s="12"/>
      <c r="J53" s="12"/>
      <c r="K53" s="12"/>
      <c r="L53" s="12"/>
      <c r="M53" s="12"/>
      <c r="N53" s="12"/>
      <c r="O53" s="12"/>
      <c r="P53" s="12"/>
      <c r="Q53" s="12"/>
      <c r="R53" s="12"/>
      <c r="S53" s="12"/>
      <c r="T53" s="12"/>
      <c r="U53" s="12"/>
      <c r="V53" s="12"/>
      <c r="W53" s="12"/>
      <c r="X53" s="12"/>
    </row>
    <row r="54">
      <c r="A54" s="12"/>
      <c r="B54" s="25">
        <v>0.7959</v>
      </c>
      <c r="C54" s="12"/>
      <c r="D54" s="12"/>
      <c r="E54" s="12"/>
      <c r="F54" s="12"/>
      <c r="G54" s="12"/>
      <c r="H54" s="12"/>
      <c r="I54" s="12"/>
      <c r="J54" s="12"/>
      <c r="K54" s="12"/>
      <c r="L54" s="12"/>
      <c r="M54" s="12"/>
      <c r="N54" s="12"/>
      <c r="O54" s="12"/>
      <c r="P54" s="12"/>
      <c r="Q54" s="12"/>
      <c r="R54" s="12"/>
      <c r="S54" s="12"/>
      <c r="T54" s="12"/>
      <c r="U54" s="12"/>
      <c r="V54" s="12"/>
      <c r="W54" s="12"/>
      <c r="X54" s="12"/>
    </row>
    <row r="55">
      <c r="A55" s="12"/>
      <c r="B55" s="25">
        <v>0.3737</v>
      </c>
      <c r="C55" s="12"/>
      <c r="D55" s="12"/>
      <c r="E55" s="12"/>
      <c r="F55" s="12"/>
      <c r="G55" s="12"/>
      <c r="H55" s="12"/>
      <c r="I55" s="12"/>
      <c r="J55" s="12"/>
      <c r="K55" s="12"/>
      <c r="L55" s="12"/>
      <c r="M55" s="12"/>
      <c r="N55" s="12"/>
      <c r="O55" s="12"/>
      <c r="P55" s="12"/>
      <c r="Q55" s="12"/>
      <c r="R55" s="12"/>
      <c r="S55" s="12"/>
      <c r="T55" s="12"/>
      <c r="U55" s="12"/>
      <c r="V55" s="12"/>
      <c r="W55" s="12"/>
      <c r="X55" s="12"/>
    </row>
    <row r="56">
      <c r="A56" s="12"/>
      <c r="B56" s="25">
        <v>0.8957</v>
      </c>
      <c r="C56" s="12"/>
      <c r="D56" s="12"/>
      <c r="E56" s="12"/>
      <c r="F56" s="12"/>
      <c r="G56" s="12"/>
      <c r="H56" s="12"/>
      <c r="I56" s="12"/>
      <c r="J56" s="12"/>
      <c r="K56" s="12"/>
      <c r="L56" s="12"/>
      <c r="M56" s="12"/>
      <c r="N56" s="12"/>
      <c r="O56" s="12"/>
      <c r="P56" s="12"/>
      <c r="Q56" s="12"/>
      <c r="R56" s="12"/>
      <c r="S56" s="12"/>
      <c r="T56" s="12"/>
      <c r="U56" s="12"/>
      <c r="V56" s="12"/>
      <c r="W56" s="12"/>
      <c r="X56" s="12"/>
    </row>
    <row r="57">
      <c r="A57" s="12"/>
      <c r="B57" s="25">
        <v>0.687</v>
      </c>
      <c r="C57" s="12"/>
      <c r="D57" s="12"/>
      <c r="E57" s="12"/>
      <c r="F57" s="12"/>
      <c r="G57" s="12"/>
      <c r="H57" s="12"/>
      <c r="I57" s="12"/>
      <c r="J57" s="12"/>
      <c r="K57" s="12"/>
      <c r="L57" s="12"/>
      <c r="M57" s="12"/>
      <c r="N57" s="12"/>
      <c r="O57" s="12"/>
      <c r="P57" s="12"/>
      <c r="Q57" s="12"/>
      <c r="R57" s="12"/>
      <c r="S57" s="12"/>
      <c r="T57" s="12"/>
      <c r="U57" s="12"/>
      <c r="V57" s="12"/>
      <c r="W57" s="12"/>
      <c r="X57" s="12"/>
    </row>
    <row r="58">
      <c r="A58" s="12"/>
      <c r="B58" s="25">
        <v>0.5758</v>
      </c>
      <c r="C58" s="12"/>
      <c r="D58" s="12"/>
      <c r="E58" s="12"/>
      <c r="F58" s="12"/>
      <c r="G58" s="12"/>
      <c r="H58" s="12"/>
      <c r="I58" s="12"/>
      <c r="J58" s="12"/>
      <c r="K58" s="12"/>
      <c r="L58" s="12"/>
      <c r="M58" s="12"/>
      <c r="N58" s="12"/>
      <c r="O58" s="12"/>
      <c r="P58" s="12"/>
      <c r="Q58" s="12"/>
      <c r="R58" s="12"/>
      <c r="S58" s="12"/>
      <c r="T58" s="12"/>
      <c r="U58" s="12"/>
      <c r="V58" s="12"/>
      <c r="W58" s="12"/>
      <c r="X58" s="12"/>
    </row>
    <row r="59">
      <c r="A59" s="12"/>
      <c r="B59" s="25">
        <v>0.6555</v>
      </c>
      <c r="C59" s="12"/>
      <c r="D59" s="12"/>
      <c r="E59" s="12"/>
      <c r="F59" s="12"/>
      <c r="G59" s="12"/>
      <c r="H59" s="12"/>
      <c r="I59" s="12"/>
      <c r="J59" s="12"/>
      <c r="K59" s="12"/>
      <c r="L59" s="12"/>
      <c r="M59" s="12"/>
      <c r="N59" s="12"/>
      <c r="O59" s="12"/>
      <c r="P59" s="12"/>
      <c r="Q59" s="12"/>
      <c r="R59" s="12"/>
      <c r="S59" s="12"/>
      <c r="T59" s="12"/>
      <c r="U59" s="12"/>
      <c r="V59" s="12"/>
      <c r="W59" s="12"/>
      <c r="X59" s="12"/>
    </row>
    <row r="60">
      <c r="A60" s="12"/>
      <c r="B60" s="25">
        <v>0.8988</v>
      </c>
      <c r="C60" s="12"/>
      <c r="D60" s="12"/>
      <c r="E60" s="12"/>
      <c r="F60" s="12"/>
      <c r="G60" s="12"/>
      <c r="H60" s="12"/>
      <c r="I60" s="12"/>
      <c r="J60" s="12"/>
      <c r="K60" s="12"/>
      <c r="L60" s="12"/>
      <c r="M60" s="12"/>
      <c r="N60" s="12"/>
      <c r="O60" s="12"/>
      <c r="P60" s="12"/>
      <c r="Q60" s="12"/>
      <c r="R60" s="12"/>
      <c r="S60" s="12"/>
      <c r="T60" s="12"/>
      <c r="U60" s="12"/>
      <c r="V60" s="12"/>
      <c r="W60" s="12"/>
      <c r="X60" s="12"/>
    </row>
    <row r="61">
      <c r="A61" s="12"/>
      <c r="B61" s="25">
        <v>0.8521</v>
      </c>
      <c r="C61" s="12"/>
      <c r="D61" s="12"/>
      <c r="E61" s="12"/>
      <c r="F61" s="12"/>
      <c r="G61" s="12"/>
      <c r="H61" s="12"/>
      <c r="I61" s="12"/>
      <c r="J61" s="12"/>
      <c r="K61" s="12"/>
      <c r="L61" s="12"/>
      <c r="M61" s="12"/>
      <c r="N61" s="12"/>
      <c r="O61" s="12"/>
      <c r="P61" s="12"/>
      <c r="Q61" s="12"/>
      <c r="R61" s="12"/>
      <c r="S61" s="12"/>
      <c r="T61" s="12"/>
      <c r="U61" s="12"/>
      <c r="V61" s="12"/>
      <c r="W61" s="12"/>
      <c r="X61" s="12"/>
    </row>
    <row r="62">
      <c r="A62" s="12"/>
      <c r="B62" s="25">
        <v>0.3658</v>
      </c>
      <c r="C62" s="12"/>
      <c r="D62" s="12"/>
      <c r="E62" s="12"/>
      <c r="F62" s="12"/>
      <c r="G62" s="12"/>
      <c r="H62" s="12"/>
      <c r="I62" s="12"/>
      <c r="J62" s="12"/>
      <c r="K62" s="12"/>
      <c r="L62" s="12"/>
      <c r="M62" s="12"/>
      <c r="N62" s="12"/>
      <c r="O62" s="12"/>
      <c r="P62" s="12"/>
      <c r="Q62" s="12"/>
      <c r="R62" s="12"/>
      <c r="S62" s="12"/>
      <c r="T62" s="12"/>
      <c r="U62" s="12"/>
      <c r="V62" s="12"/>
      <c r="W62" s="12"/>
      <c r="X62" s="12"/>
    </row>
    <row r="63">
      <c r="A63" s="12"/>
      <c r="B63" s="25">
        <v>0.4751</v>
      </c>
      <c r="C63" s="12"/>
      <c r="D63" s="12"/>
      <c r="E63" s="12"/>
      <c r="F63" s="12"/>
      <c r="G63" s="12"/>
      <c r="H63" s="12"/>
      <c r="I63" s="12"/>
      <c r="J63" s="12"/>
      <c r="K63" s="12"/>
      <c r="L63" s="12"/>
      <c r="M63" s="12"/>
      <c r="N63" s="12"/>
      <c r="O63" s="12"/>
      <c r="P63" s="12"/>
      <c r="Q63" s="12"/>
      <c r="R63" s="12"/>
      <c r="S63" s="12"/>
      <c r="T63" s="12"/>
      <c r="U63" s="12"/>
      <c r="V63" s="12"/>
      <c r="W63" s="12"/>
      <c r="X63" s="12"/>
    </row>
    <row r="64">
      <c r="A64" s="12"/>
      <c r="B64" s="25">
        <v>0.2943</v>
      </c>
      <c r="C64" s="12"/>
      <c r="D64" s="12"/>
      <c r="E64" s="12"/>
      <c r="F64" s="12"/>
      <c r="G64" s="12"/>
      <c r="H64" s="12"/>
      <c r="I64" s="12"/>
      <c r="J64" s="12"/>
      <c r="K64" s="12"/>
      <c r="L64" s="12"/>
      <c r="M64" s="12"/>
      <c r="N64" s="12"/>
      <c r="O64" s="12"/>
      <c r="P64" s="12"/>
      <c r="Q64" s="12"/>
      <c r="R64" s="12"/>
      <c r="S64" s="12"/>
      <c r="T64" s="12"/>
      <c r="U64" s="12"/>
      <c r="V64" s="12"/>
      <c r="W64" s="12"/>
      <c r="X64" s="12"/>
    </row>
    <row r="65">
      <c r="A65" s="12"/>
      <c r="B65" s="25">
        <v>0.6685</v>
      </c>
      <c r="C65" s="12"/>
      <c r="D65" s="12"/>
      <c r="E65" s="12"/>
      <c r="F65" s="12"/>
      <c r="G65" s="12"/>
      <c r="H65" s="12"/>
      <c r="I65" s="12"/>
      <c r="J65" s="12"/>
      <c r="K65" s="12"/>
      <c r="L65" s="12"/>
      <c r="M65" s="12"/>
      <c r="N65" s="12"/>
      <c r="O65" s="12"/>
      <c r="P65" s="12"/>
      <c r="Q65" s="12"/>
      <c r="R65" s="12"/>
      <c r="S65" s="12"/>
      <c r="T65" s="12"/>
      <c r="U65" s="12"/>
      <c r="V65" s="12"/>
      <c r="W65" s="12"/>
      <c r="X65" s="12"/>
    </row>
    <row r="66">
      <c r="A66" s="12"/>
      <c r="B66" s="25">
        <v>0.5909</v>
      </c>
      <c r="C66" s="12"/>
      <c r="D66" s="12"/>
      <c r="E66" s="12"/>
      <c r="F66" s="12"/>
      <c r="G66" s="12"/>
      <c r="H66" s="12"/>
      <c r="I66" s="12"/>
      <c r="J66" s="12"/>
      <c r="K66" s="12"/>
      <c r="L66" s="12"/>
      <c r="M66" s="12"/>
      <c r="N66" s="12"/>
      <c r="O66" s="12"/>
      <c r="P66" s="12"/>
      <c r="Q66" s="12"/>
      <c r="R66" s="12"/>
      <c r="S66" s="12"/>
      <c r="T66" s="12"/>
      <c r="U66" s="12"/>
      <c r="V66" s="12"/>
      <c r="W66" s="12"/>
      <c r="X66" s="12"/>
    </row>
    <row r="67">
      <c r="A67" s="12"/>
      <c r="B67" s="25">
        <v>0.4595</v>
      </c>
      <c r="C67" s="12"/>
      <c r="D67" s="12"/>
      <c r="E67" s="12"/>
      <c r="F67" s="12"/>
      <c r="G67" s="12"/>
      <c r="H67" s="12"/>
      <c r="I67" s="12"/>
      <c r="J67" s="12"/>
      <c r="K67" s="12"/>
      <c r="L67" s="12"/>
      <c r="M67" s="12"/>
      <c r="N67" s="12"/>
      <c r="O67" s="12"/>
      <c r="P67" s="12"/>
      <c r="Q67" s="12"/>
      <c r="R67" s="12"/>
      <c r="S67" s="12"/>
      <c r="T67" s="12"/>
      <c r="U67" s="12"/>
      <c r="V67" s="12"/>
      <c r="W67" s="12"/>
      <c r="X67" s="12"/>
    </row>
    <row r="68">
      <c r="A68" s="12"/>
      <c r="B68" s="25">
        <v>0.4637</v>
      </c>
      <c r="C68" s="12"/>
      <c r="D68" s="12"/>
      <c r="E68" s="12"/>
      <c r="F68" s="12"/>
      <c r="G68" s="12"/>
      <c r="H68" s="12"/>
      <c r="I68" s="12"/>
      <c r="J68" s="12"/>
      <c r="K68" s="12"/>
      <c r="L68" s="12"/>
      <c r="M68" s="12"/>
      <c r="N68" s="12"/>
      <c r="O68" s="12"/>
      <c r="P68" s="12"/>
      <c r="Q68" s="12"/>
      <c r="R68" s="12"/>
      <c r="S68" s="12"/>
      <c r="T68" s="12"/>
      <c r="U68" s="12"/>
      <c r="V68" s="12"/>
      <c r="W68" s="12"/>
      <c r="X68" s="12"/>
    </row>
    <row r="69">
      <c r="A69" s="12"/>
      <c r="B69" s="25">
        <v>0.6873</v>
      </c>
      <c r="C69" s="12"/>
      <c r="D69" s="12"/>
      <c r="E69" s="12"/>
      <c r="F69" s="12"/>
      <c r="G69" s="12"/>
      <c r="H69" s="12"/>
      <c r="I69" s="12"/>
      <c r="J69" s="12"/>
      <c r="K69" s="12"/>
      <c r="L69" s="12"/>
      <c r="M69" s="12"/>
      <c r="N69" s="12"/>
      <c r="O69" s="12"/>
      <c r="P69" s="12"/>
      <c r="Q69" s="12"/>
      <c r="R69" s="12"/>
      <c r="S69" s="12"/>
      <c r="T69" s="12"/>
      <c r="U69" s="12"/>
      <c r="V69" s="12"/>
      <c r="W69" s="12"/>
      <c r="X69" s="12"/>
    </row>
    <row r="70">
      <c r="A70" s="12"/>
      <c r="B70" s="25">
        <v>0.5918</v>
      </c>
      <c r="C70" s="12"/>
      <c r="D70" s="12"/>
      <c r="E70" s="12"/>
      <c r="F70" s="12"/>
      <c r="G70" s="12"/>
      <c r="H70" s="12"/>
      <c r="I70" s="12"/>
      <c r="J70" s="12"/>
      <c r="K70" s="12"/>
      <c r="L70" s="12"/>
      <c r="M70" s="12"/>
      <c r="N70" s="12"/>
      <c r="O70" s="12"/>
      <c r="P70" s="12"/>
      <c r="Q70" s="12"/>
      <c r="R70" s="12"/>
      <c r="S70" s="12"/>
      <c r="T70" s="12"/>
      <c r="U70" s="12"/>
      <c r="V70" s="12"/>
      <c r="W70" s="12"/>
      <c r="X70" s="12"/>
    </row>
    <row r="71">
      <c r="A71" s="12"/>
      <c r="B71" s="25">
        <v>0.5074</v>
      </c>
      <c r="C71" s="12"/>
      <c r="D71" s="12"/>
      <c r="E71" s="12"/>
      <c r="F71" s="12"/>
      <c r="G71" s="12"/>
      <c r="H71" s="12"/>
      <c r="I71" s="12"/>
      <c r="J71" s="12"/>
      <c r="K71" s="12"/>
      <c r="L71" s="12"/>
      <c r="M71" s="12"/>
      <c r="N71" s="12"/>
      <c r="O71" s="12"/>
      <c r="P71" s="12"/>
      <c r="Q71" s="12"/>
      <c r="R71" s="12"/>
      <c r="S71" s="12"/>
      <c r="T71" s="12"/>
      <c r="U71" s="12"/>
      <c r="V71" s="12"/>
      <c r="W71" s="12"/>
      <c r="X71" s="12"/>
    </row>
    <row r="72">
      <c r="A72" s="12"/>
      <c r="B72" s="25">
        <v>0.0139</v>
      </c>
      <c r="C72" s="12"/>
      <c r="D72" s="12"/>
      <c r="E72" s="12"/>
      <c r="F72" s="12"/>
      <c r="G72" s="12"/>
      <c r="H72" s="12"/>
      <c r="I72" s="12"/>
      <c r="J72" s="12"/>
      <c r="K72" s="12"/>
      <c r="L72" s="12"/>
      <c r="M72" s="12"/>
      <c r="N72" s="12"/>
      <c r="O72" s="12"/>
      <c r="P72" s="12"/>
      <c r="Q72" s="12"/>
      <c r="R72" s="12"/>
      <c r="S72" s="12"/>
      <c r="T72" s="12"/>
      <c r="U72" s="12"/>
      <c r="V72" s="12"/>
      <c r="W72" s="12"/>
      <c r="X72" s="12"/>
    </row>
    <row r="73">
      <c r="A73" s="12"/>
      <c r="B73" s="25">
        <v>0.74</v>
      </c>
      <c r="C73" s="12"/>
      <c r="D73" s="12"/>
      <c r="E73" s="12"/>
      <c r="F73" s="12"/>
      <c r="G73" s="12"/>
      <c r="H73" s="12"/>
      <c r="I73" s="12"/>
      <c r="J73" s="12"/>
      <c r="K73" s="12"/>
      <c r="L73" s="12"/>
      <c r="M73" s="12"/>
      <c r="N73" s="12"/>
      <c r="O73" s="12"/>
      <c r="P73" s="12"/>
      <c r="Q73" s="12"/>
      <c r="R73" s="12"/>
      <c r="S73" s="12"/>
      <c r="T73" s="12"/>
      <c r="U73" s="12"/>
      <c r="V73" s="12"/>
      <c r="W73" s="12"/>
      <c r="X73" s="12"/>
    </row>
    <row r="74">
      <c r="A74" s="12"/>
      <c r="B74" s="25">
        <v>0.3976</v>
      </c>
      <c r="C74" s="12"/>
      <c r="D74" s="12"/>
      <c r="E74" s="12"/>
      <c r="F74" s="12"/>
      <c r="G74" s="12"/>
      <c r="H74" s="12"/>
      <c r="I74" s="12"/>
      <c r="J74" s="12"/>
      <c r="K74" s="12"/>
      <c r="L74" s="12"/>
      <c r="M74" s="12"/>
      <c r="N74" s="12"/>
      <c r="O74" s="12"/>
      <c r="P74" s="12"/>
      <c r="Q74" s="12"/>
      <c r="R74" s="12"/>
      <c r="S74" s="12"/>
      <c r="T74" s="12"/>
      <c r="U74" s="12"/>
      <c r="V74" s="12"/>
      <c r="W74" s="12"/>
      <c r="X74" s="12"/>
    </row>
    <row r="75">
      <c r="A75" s="12"/>
      <c r="B75" s="25">
        <v>0.1682</v>
      </c>
      <c r="C75" s="12"/>
      <c r="D75" s="12"/>
      <c r="E75" s="12"/>
      <c r="F75" s="12"/>
      <c r="G75" s="12"/>
      <c r="H75" s="12"/>
      <c r="I75" s="12"/>
      <c r="J75" s="12"/>
      <c r="K75" s="12"/>
      <c r="L75" s="12"/>
      <c r="M75" s="12"/>
      <c r="N75" s="12"/>
      <c r="O75" s="12"/>
      <c r="P75" s="12"/>
      <c r="Q75" s="12"/>
      <c r="R75" s="12"/>
      <c r="S75" s="12"/>
      <c r="T75" s="12"/>
      <c r="U75" s="12"/>
      <c r="V75" s="12"/>
      <c r="W75" s="12"/>
      <c r="X75" s="12"/>
    </row>
    <row r="76">
      <c r="A76" s="12"/>
      <c r="B76" s="25">
        <v>0.9549</v>
      </c>
      <c r="C76" s="12"/>
      <c r="D76" s="12"/>
      <c r="E76" s="12"/>
      <c r="F76" s="12"/>
      <c r="G76" s="12"/>
      <c r="H76" s="12"/>
      <c r="I76" s="12"/>
      <c r="J76" s="12"/>
      <c r="K76" s="12"/>
      <c r="L76" s="12"/>
      <c r="M76" s="12"/>
      <c r="N76" s="12"/>
      <c r="O76" s="12"/>
      <c r="P76" s="12"/>
      <c r="Q76" s="12"/>
      <c r="R76" s="12"/>
      <c r="S76" s="12"/>
      <c r="T76" s="12"/>
      <c r="U76" s="12"/>
      <c r="V76" s="12"/>
      <c r="W76" s="12"/>
      <c r="X76" s="12"/>
    </row>
    <row r="77">
      <c r="A77" s="12"/>
      <c r="B77" s="25">
        <v>0.8388</v>
      </c>
      <c r="C77" s="12"/>
      <c r="D77" s="12"/>
      <c r="E77" s="12"/>
      <c r="F77" s="12"/>
      <c r="G77" s="12"/>
      <c r="H77" s="12"/>
      <c r="I77" s="12"/>
      <c r="J77" s="12"/>
      <c r="K77" s="12"/>
      <c r="L77" s="12"/>
      <c r="M77" s="12"/>
      <c r="N77" s="12"/>
      <c r="O77" s="12"/>
      <c r="P77" s="12"/>
      <c r="Q77" s="12"/>
      <c r="R77" s="12"/>
      <c r="S77" s="12"/>
      <c r="T77" s="12"/>
      <c r="U77" s="12"/>
      <c r="V77" s="12"/>
      <c r="W77" s="12"/>
      <c r="X77" s="12"/>
    </row>
    <row r="78">
      <c r="A78" s="12"/>
      <c r="B78" s="25">
        <v>0.6577</v>
      </c>
      <c r="C78" s="12"/>
      <c r="D78" s="12"/>
      <c r="E78" s="12"/>
      <c r="F78" s="12"/>
      <c r="G78" s="12"/>
      <c r="H78" s="12"/>
      <c r="I78" s="12"/>
      <c r="J78" s="12"/>
      <c r="K78" s="12"/>
      <c r="L78" s="12"/>
      <c r="M78" s="12"/>
      <c r="N78" s="12"/>
      <c r="O78" s="12"/>
      <c r="P78" s="12"/>
      <c r="Q78" s="12"/>
      <c r="R78" s="12"/>
      <c r="S78" s="12"/>
      <c r="T78" s="12"/>
      <c r="U78" s="12"/>
      <c r="V78" s="12"/>
      <c r="W78" s="12"/>
      <c r="X78" s="12"/>
    </row>
    <row r="79">
      <c r="A79" s="12"/>
      <c r="B79" s="25">
        <v>0.0159</v>
      </c>
      <c r="C79" s="12"/>
      <c r="D79" s="12"/>
      <c r="E79" s="12"/>
      <c r="F79" s="12"/>
      <c r="G79" s="12"/>
      <c r="H79" s="12"/>
      <c r="I79" s="12"/>
      <c r="J79" s="12"/>
      <c r="K79" s="12"/>
      <c r="L79" s="12"/>
      <c r="M79" s="12"/>
      <c r="N79" s="12"/>
      <c r="O79" s="12"/>
      <c r="P79" s="12"/>
      <c r="Q79" s="12"/>
      <c r="R79" s="12"/>
      <c r="S79" s="12"/>
      <c r="T79" s="12"/>
      <c r="U79" s="12"/>
      <c r="V79" s="12"/>
      <c r="W79" s="12"/>
      <c r="X79" s="12"/>
    </row>
    <row r="80">
      <c r="A80" s="12"/>
      <c r="B80" s="25">
        <v>0.8465</v>
      </c>
      <c r="C80" s="12"/>
      <c r="D80" s="12"/>
      <c r="E80" s="12"/>
      <c r="F80" s="12"/>
      <c r="G80" s="12"/>
      <c r="H80" s="12"/>
      <c r="I80" s="12"/>
      <c r="J80" s="12"/>
      <c r="K80" s="12"/>
      <c r="L80" s="12"/>
      <c r="M80" s="12"/>
      <c r="N80" s="12"/>
      <c r="O80" s="12"/>
      <c r="P80" s="12"/>
      <c r="Q80" s="12"/>
      <c r="R80" s="12"/>
      <c r="S80" s="12"/>
      <c r="T80" s="12"/>
      <c r="U80" s="12"/>
      <c r="V80" s="12"/>
      <c r="W80" s="12"/>
      <c r="X80" s="12"/>
    </row>
    <row r="81">
      <c r="A81" s="12"/>
      <c r="B81" s="25">
        <v>0.0676</v>
      </c>
      <c r="C81" s="12"/>
      <c r="D81" s="12"/>
      <c r="E81" s="12"/>
      <c r="F81" s="12"/>
      <c r="G81" s="12"/>
      <c r="H81" s="12"/>
      <c r="I81" s="12"/>
      <c r="J81" s="12"/>
      <c r="K81" s="12"/>
      <c r="L81" s="12"/>
      <c r="M81" s="12"/>
      <c r="N81" s="12"/>
      <c r="O81" s="12"/>
      <c r="P81" s="12"/>
      <c r="Q81" s="12"/>
      <c r="R81" s="12"/>
      <c r="S81" s="12"/>
      <c r="T81" s="12"/>
      <c r="U81" s="12"/>
      <c r="V81" s="12"/>
      <c r="W81" s="12"/>
      <c r="X81" s="12"/>
    </row>
    <row r="82">
      <c r="A82" s="12"/>
      <c r="B82" s="25">
        <v>0.599</v>
      </c>
      <c r="C82" s="12"/>
      <c r="D82" s="12"/>
      <c r="E82" s="12"/>
      <c r="F82" s="12"/>
      <c r="G82" s="12"/>
      <c r="H82" s="12"/>
      <c r="I82" s="12"/>
      <c r="J82" s="12"/>
      <c r="K82" s="12"/>
      <c r="L82" s="12"/>
      <c r="M82" s="12"/>
      <c r="N82" s="12"/>
      <c r="O82" s="12"/>
      <c r="P82" s="12"/>
      <c r="Q82" s="12"/>
      <c r="R82" s="12"/>
      <c r="S82" s="12"/>
      <c r="T82" s="12"/>
      <c r="U82" s="12"/>
      <c r="V82" s="12"/>
      <c r="W82" s="12"/>
      <c r="X82" s="12"/>
    </row>
    <row r="83">
      <c r="A83" s="12"/>
      <c r="B83" s="25">
        <v>0.8907</v>
      </c>
      <c r="C83" s="12"/>
      <c r="D83" s="12"/>
      <c r="E83" s="12"/>
      <c r="F83" s="12"/>
      <c r="G83" s="12"/>
      <c r="H83" s="12"/>
      <c r="I83" s="12"/>
      <c r="J83" s="12"/>
      <c r="K83" s="12"/>
      <c r="L83" s="12"/>
      <c r="M83" s="12"/>
      <c r="N83" s="12"/>
      <c r="O83" s="12"/>
      <c r="P83" s="12"/>
      <c r="Q83" s="12"/>
      <c r="R83" s="12"/>
      <c r="S83" s="12"/>
      <c r="T83" s="12"/>
      <c r="U83" s="12"/>
      <c r="V83" s="12"/>
      <c r="W83" s="12"/>
      <c r="X83" s="12"/>
    </row>
    <row r="84">
      <c r="A84" s="12"/>
      <c r="B84" s="25">
        <v>0.4208</v>
      </c>
      <c r="C84" s="12"/>
      <c r="D84" s="12"/>
      <c r="E84" s="12"/>
      <c r="F84" s="12"/>
      <c r="G84" s="12"/>
      <c r="H84" s="12"/>
      <c r="I84" s="12"/>
      <c r="J84" s="12"/>
      <c r="K84" s="12"/>
      <c r="L84" s="12"/>
      <c r="M84" s="12"/>
      <c r="N84" s="12"/>
      <c r="O84" s="12"/>
      <c r="P84" s="12"/>
      <c r="Q84" s="12"/>
      <c r="R84" s="12"/>
      <c r="S84" s="12"/>
      <c r="T84" s="12"/>
      <c r="U84" s="12"/>
      <c r="V84" s="12"/>
      <c r="W84" s="12"/>
      <c r="X84" s="12"/>
    </row>
    <row r="85">
      <c r="A85" s="12"/>
      <c r="B85" s="25">
        <v>0.4033</v>
      </c>
      <c r="C85" s="12"/>
      <c r="D85" s="12"/>
      <c r="E85" s="12"/>
      <c r="F85" s="12"/>
      <c r="G85" s="12"/>
      <c r="H85" s="12"/>
      <c r="I85" s="12"/>
      <c r="J85" s="12"/>
      <c r="K85" s="12"/>
      <c r="L85" s="12"/>
      <c r="M85" s="12"/>
      <c r="N85" s="12"/>
      <c r="O85" s="12"/>
      <c r="P85" s="12"/>
      <c r="Q85" s="12"/>
      <c r="R85" s="12"/>
      <c r="S85" s="12"/>
      <c r="T85" s="12"/>
      <c r="U85" s="12"/>
      <c r="V85" s="12"/>
      <c r="W85" s="12"/>
      <c r="X85" s="12"/>
    </row>
    <row r="86">
      <c r="A86" s="12"/>
      <c r="B86" s="25">
        <v>0.4716</v>
      </c>
      <c r="C86" s="12"/>
      <c r="D86" s="12"/>
      <c r="E86" s="12"/>
      <c r="F86" s="12"/>
      <c r="G86" s="12"/>
      <c r="H86" s="12"/>
      <c r="I86" s="12"/>
      <c r="J86" s="12"/>
      <c r="K86" s="12"/>
      <c r="L86" s="12"/>
      <c r="M86" s="12"/>
      <c r="N86" s="12"/>
      <c r="O86" s="12"/>
      <c r="P86" s="12"/>
      <c r="Q86" s="12"/>
      <c r="R86" s="12"/>
      <c r="S86" s="12"/>
      <c r="T86" s="12"/>
      <c r="U86" s="12"/>
      <c r="V86" s="12"/>
      <c r="W86" s="12"/>
      <c r="X86" s="12"/>
    </row>
    <row r="87">
      <c r="A87" s="12"/>
      <c r="B87" s="25">
        <v>0.1079</v>
      </c>
      <c r="C87" s="12"/>
      <c r="D87" s="12"/>
      <c r="E87" s="12"/>
      <c r="F87" s="12"/>
      <c r="G87" s="12"/>
      <c r="H87" s="12"/>
      <c r="I87" s="12"/>
      <c r="J87" s="12"/>
      <c r="K87" s="12"/>
      <c r="L87" s="12"/>
      <c r="M87" s="12"/>
      <c r="N87" s="12"/>
      <c r="O87" s="12"/>
      <c r="P87" s="12"/>
      <c r="Q87" s="12"/>
      <c r="R87" s="12"/>
      <c r="S87" s="12"/>
      <c r="T87" s="12"/>
      <c r="U87" s="12"/>
      <c r="V87" s="12"/>
      <c r="W87" s="12"/>
      <c r="X87" s="12"/>
    </row>
    <row r="88">
      <c r="A88" s="12"/>
      <c r="B88" s="25">
        <v>0.7445</v>
      </c>
      <c r="C88" s="12"/>
      <c r="D88" s="12"/>
      <c r="E88" s="12"/>
      <c r="F88" s="12"/>
      <c r="G88" s="12"/>
      <c r="H88" s="12"/>
      <c r="I88" s="12"/>
      <c r="J88" s="12"/>
      <c r="K88" s="12"/>
      <c r="L88" s="12"/>
      <c r="M88" s="12"/>
      <c r="N88" s="12"/>
      <c r="O88" s="12"/>
      <c r="P88" s="12"/>
      <c r="Q88" s="12"/>
      <c r="R88" s="12"/>
      <c r="S88" s="12"/>
      <c r="T88" s="12"/>
      <c r="U88" s="12"/>
      <c r="V88" s="12"/>
      <c r="W88" s="12"/>
      <c r="X88" s="12"/>
    </row>
    <row r="89">
      <c r="A89" s="12"/>
      <c r="B89" s="25">
        <v>0.6371</v>
      </c>
      <c r="C89" s="12"/>
      <c r="D89" s="12"/>
      <c r="E89" s="12"/>
      <c r="F89" s="12"/>
      <c r="G89" s="12"/>
      <c r="H89" s="12"/>
      <c r="I89" s="12"/>
      <c r="J89" s="12"/>
      <c r="K89" s="12"/>
      <c r="L89" s="12"/>
      <c r="M89" s="12"/>
      <c r="N89" s="12"/>
      <c r="O89" s="12"/>
      <c r="P89" s="12"/>
      <c r="Q89" s="12"/>
      <c r="R89" s="12"/>
      <c r="S89" s="12"/>
      <c r="T89" s="12"/>
      <c r="U89" s="12"/>
      <c r="V89" s="12"/>
      <c r="W89" s="12"/>
      <c r="X89" s="12"/>
    </row>
    <row r="90">
      <c r="A90" s="12"/>
      <c r="B90" s="25">
        <v>0.9192</v>
      </c>
      <c r="C90" s="12"/>
      <c r="D90" s="12"/>
      <c r="E90" s="12"/>
      <c r="F90" s="12"/>
      <c r="G90" s="12"/>
      <c r="H90" s="12"/>
      <c r="I90" s="12"/>
      <c r="J90" s="12"/>
      <c r="K90" s="12"/>
      <c r="L90" s="12"/>
      <c r="M90" s="12"/>
      <c r="N90" s="12"/>
      <c r="O90" s="12"/>
      <c r="P90" s="12"/>
      <c r="Q90" s="12"/>
      <c r="R90" s="12"/>
      <c r="S90" s="12"/>
      <c r="T90" s="12"/>
      <c r="U90" s="12"/>
      <c r="V90" s="12"/>
      <c r="W90" s="12"/>
      <c r="X90" s="12"/>
    </row>
    <row r="91">
      <c r="A91" s="12"/>
      <c r="B91" s="25">
        <v>0.9382</v>
      </c>
      <c r="C91" s="12"/>
      <c r="D91" s="12"/>
      <c r="E91" s="12"/>
      <c r="F91" s="12"/>
      <c r="G91" s="12"/>
      <c r="H91" s="12"/>
      <c r="I91" s="12"/>
      <c r="J91" s="12"/>
      <c r="K91" s="12"/>
      <c r="L91" s="12"/>
      <c r="M91" s="12"/>
      <c r="N91" s="12"/>
      <c r="O91" s="12"/>
      <c r="P91" s="12"/>
      <c r="Q91" s="12"/>
      <c r="R91" s="12"/>
      <c r="S91" s="12"/>
      <c r="T91" s="12"/>
      <c r="U91" s="12"/>
      <c r="V91" s="12"/>
      <c r="W91" s="12"/>
      <c r="X91" s="12"/>
    </row>
    <row r="92">
      <c r="A92" s="12"/>
      <c r="B92" s="25">
        <v>0.9497</v>
      </c>
      <c r="C92" s="12"/>
      <c r="D92" s="12"/>
      <c r="E92" s="12"/>
      <c r="F92" s="12"/>
      <c r="G92" s="12"/>
      <c r="H92" s="12"/>
      <c r="I92" s="12"/>
      <c r="J92" s="12"/>
      <c r="K92" s="12"/>
      <c r="L92" s="12"/>
      <c r="M92" s="12"/>
      <c r="N92" s="12"/>
      <c r="O92" s="12"/>
      <c r="P92" s="12"/>
      <c r="Q92" s="12"/>
      <c r="R92" s="12"/>
      <c r="S92" s="12"/>
      <c r="T92" s="12"/>
      <c r="U92" s="12"/>
      <c r="V92" s="12"/>
      <c r="W92" s="12"/>
      <c r="X92" s="12"/>
    </row>
    <row r="93">
      <c r="A93" s="12"/>
      <c r="B93" s="25">
        <v>0.562</v>
      </c>
      <c r="C93" s="12"/>
      <c r="D93" s="12"/>
      <c r="E93" s="12"/>
      <c r="F93" s="12"/>
      <c r="G93" s="12"/>
      <c r="H93" s="12"/>
      <c r="I93" s="12"/>
      <c r="J93" s="12"/>
      <c r="K93" s="12"/>
      <c r="L93" s="12"/>
      <c r="M93" s="12"/>
      <c r="N93" s="12"/>
      <c r="O93" s="12"/>
      <c r="P93" s="12"/>
      <c r="Q93" s="12"/>
      <c r="R93" s="12"/>
      <c r="S93" s="12"/>
      <c r="T93" s="12"/>
      <c r="U93" s="12"/>
      <c r="V93" s="12"/>
      <c r="W93" s="12"/>
      <c r="X93" s="12"/>
    </row>
    <row r="94">
      <c r="A94" s="12"/>
      <c r="B94" s="25">
        <v>0.9208</v>
      </c>
      <c r="C94" s="12"/>
      <c r="D94" s="12"/>
      <c r="E94" s="12"/>
      <c r="F94" s="12"/>
      <c r="G94" s="12"/>
      <c r="H94" s="12"/>
      <c r="I94" s="12"/>
      <c r="J94" s="12"/>
      <c r="K94" s="12"/>
      <c r="L94" s="12"/>
      <c r="M94" s="12"/>
      <c r="N94" s="12"/>
      <c r="O94" s="12"/>
      <c r="P94" s="12"/>
      <c r="Q94" s="12"/>
      <c r="R94" s="12"/>
      <c r="S94" s="12"/>
      <c r="T94" s="12"/>
      <c r="U94" s="12"/>
      <c r="V94" s="12"/>
      <c r="W94" s="12"/>
      <c r="X94" s="12"/>
    </row>
    <row r="95">
      <c r="A95" s="12"/>
      <c r="B95" s="25">
        <v>0.0233</v>
      </c>
      <c r="C95" s="12"/>
      <c r="D95" s="12"/>
      <c r="E95" s="12"/>
      <c r="F95" s="12"/>
      <c r="G95" s="12"/>
      <c r="H95" s="12"/>
      <c r="I95" s="12"/>
      <c r="J95" s="12"/>
      <c r="K95" s="12"/>
      <c r="L95" s="12"/>
      <c r="M95" s="12"/>
      <c r="N95" s="12"/>
      <c r="O95" s="12"/>
      <c r="P95" s="12"/>
      <c r="Q95" s="12"/>
      <c r="R95" s="12"/>
      <c r="S95" s="12"/>
      <c r="T95" s="12"/>
      <c r="U95" s="12"/>
      <c r="V95" s="12"/>
      <c r="W95" s="12"/>
      <c r="X95" s="12"/>
    </row>
    <row r="96">
      <c r="A96" s="12"/>
      <c r="B96" s="25">
        <v>0.2404</v>
      </c>
      <c r="C96" s="12"/>
      <c r="D96" s="12"/>
      <c r="E96" s="12"/>
      <c r="F96" s="12"/>
      <c r="G96" s="12"/>
      <c r="H96" s="12"/>
      <c r="I96" s="12"/>
      <c r="J96" s="12"/>
      <c r="K96" s="12"/>
      <c r="L96" s="12"/>
      <c r="M96" s="12"/>
      <c r="N96" s="12"/>
      <c r="O96" s="12"/>
      <c r="P96" s="12"/>
      <c r="Q96" s="12"/>
      <c r="R96" s="12"/>
      <c r="S96" s="12"/>
      <c r="T96" s="12"/>
      <c r="U96" s="12"/>
      <c r="V96" s="12"/>
      <c r="W96" s="12"/>
      <c r="X96" s="12"/>
    </row>
    <row r="97">
      <c r="A97" s="12"/>
      <c r="B97" s="25">
        <v>0.7988</v>
      </c>
      <c r="C97" s="12"/>
      <c r="D97" s="12"/>
      <c r="E97" s="12"/>
      <c r="F97" s="12"/>
      <c r="G97" s="12"/>
      <c r="H97" s="12"/>
      <c r="I97" s="12"/>
      <c r="J97" s="12"/>
      <c r="K97" s="12"/>
      <c r="L97" s="12"/>
      <c r="M97" s="12"/>
      <c r="N97" s="12"/>
      <c r="O97" s="12"/>
      <c r="P97" s="12"/>
      <c r="Q97" s="12"/>
      <c r="R97" s="12"/>
      <c r="S97" s="12"/>
      <c r="T97" s="12"/>
      <c r="U97" s="12"/>
      <c r="V97" s="12"/>
      <c r="W97" s="12"/>
      <c r="X97" s="12"/>
    </row>
    <row r="98">
      <c r="A98" s="12"/>
      <c r="B98" s="25">
        <v>0.5281</v>
      </c>
      <c r="C98" s="12"/>
      <c r="D98" s="12"/>
      <c r="E98" s="12"/>
      <c r="F98" s="12"/>
      <c r="G98" s="12"/>
      <c r="H98" s="12"/>
      <c r="I98" s="12"/>
      <c r="J98" s="12"/>
      <c r="K98" s="12"/>
      <c r="L98" s="12"/>
      <c r="M98" s="12"/>
      <c r="N98" s="12"/>
      <c r="O98" s="12"/>
      <c r="P98" s="12"/>
      <c r="Q98" s="12"/>
      <c r="R98" s="12"/>
      <c r="S98" s="12"/>
      <c r="T98" s="12"/>
      <c r="U98" s="12"/>
      <c r="V98" s="12"/>
      <c r="W98" s="12"/>
      <c r="X98" s="12"/>
    </row>
    <row r="99">
      <c r="A99" s="12"/>
      <c r="B99" s="25">
        <v>0.116</v>
      </c>
      <c r="C99" s="12"/>
      <c r="D99" s="12"/>
      <c r="E99" s="12"/>
      <c r="F99" s="12"/>
      <c r="G99" s="12"/>
      <c r="H99" s="12"/>
      <c r="I99" s="12"/>
      <c r="J99" s="12"/>
      <c r="K99" s="12"/>
      <c r="L99" s="12"/>
      <c r="M99" s="12"/>
      <c r="N99" s="12"/>
      <c r="O99" s="12"/>
      <c r="P99" s="12"/>
      <c r="Q99" s="12"/>
      <c r="R99" s="12"/>
      <c r="S99" s="12"/>
      <c r="T99" s="12"/>
      <c r="U99" s="12"/>
      <c r="V99" s="12"/>
      <c r="W99" s="12"/>
      <c r="X99" s="12"/>
    </row>
    <row r="100">
      <c r="A100" s="12"/>
      <c r="B100" s="25">
        <v>0.1758</v>
      </c>
      <c r="C100" s="12"/>
      <c r="D100" s="12"/>
      <c r="E100" s="12"/>
      <c r="F100" s="12"/>
      <c r="G100" s="12"/>
      <c r="H100" s="12"/>
      <c r="I100" s="12"/>
      <c r="J100" s="12"/>
      <c r="K100" s="12"/>
      <c r="L100" s="12"/>
      <c r="M100" s="12"/>
      <c r="N100" s="12"/>
      <c r="O100" s="12"/>
      <c r="P100" s="12"/>
      <c r="Q100" s="12"/>
      <c r="R100" s="12"/>
      <c r="S100" s="12"/>
      <c r="T100" s="12"/>
      <c r="U100" s="12"/>
      <c r="V100" s="12"/>
      <c r="W100" s="12"/>
      <c r="X100" s="12"/>
    </row>
    <row r="101">
      <c r="A101" s="12"/>
      <c r="B101" s="25">
        <v>0.3595</v>
      </c>
      <c r="C101" s="12"/>
      <c r="D101" s="12"/>
      <c r="E101" s="12"/>
      <c r="F101" s="12"/>
      <c r="G101" s="12"/>
      <c r="H101" s="12"/>
      <c r="I101" s="12"/>
      <c r="J101" s="12"/>
      <c r="K101" s="12"/>
      <c r="L101" s="12"/>
      <c r="M101" s="12"/>
      <c r="N101" s="12"/>
      <c r="O101" s="12"/>
      <c r="P101" s="12"/>
      <c r="Q101" s="12"/>
      <c r="R101" s="12"/>
      <c r="S101" s="12"/>
      <c r="T101" s="12"/>
      <c r="U101" s="12"/>
      <c r="V101" s="12"/>
      <c r="W101" s="12"/>
      <c r="X101" s="12"/>
    </row>
    <row r="102">
      <c r="A102" s="12"/>
      <c r="B102" s="25">
        <v>0.1397</v>
      </c>
      <c r="C102" s="12"/>
      <c r="D102" s="12"/>
      <c r="E102" s="12"/>
      <c r="F102" s="12"/>
      <c r="G102" s="12"/>
      <c r="H102" s="12"/>
      <c r="I102" s="12"/>
      <c r="J102" s="12"/>
      <c r="K102" s="12"/>
      <c r="L102" s="12"/>
      <c r="M102" s="12"/>
      <c r="N102" s="12"/>
      <c r="O102" s="12"/>
      <c r="P102" s="12"/>
      <c r="Q102" s="12"/>
      <c r="R102" s="12"/>
      <c r="S102" s="12"/>
      <c r="T102" s="12"/>
      <c r="U102" s="12"/>
      <c r="V102" s="12"/>
      <c r="W102" s="12"/>
      <c r="X102" s="12"/>
    </row>
  </sheetData>
  <mergeCells count="3">
    <mergeCell ref="A1:X1"/>
    <mergeCell ref="M3:N3"/>
    <mergeCell ref="D14:U1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 t="s">
        <v>136</v>
      </c>
      <c r="B1" s="24"/>
      <c r="C1" s="24"/>
      <c r="D1" s="24"/>
      <c r="E1" s="24"/>
      <c r="F1" s="24"/>
      <c r="G1" s="24"/>
      <c r="H1" s="24"/>
      <c r="I1" s="24"/>
      <c r="J1" s="24"/>
      <c r="K1" s="24"/>
      <c r="L1" s="24"/>
      <c r="M1" s="24"/>
      <c r="N1" s="24"/>
      <c r="O1" s="24"/>
      <c r="P1" s="24"/>
      <c r="Q1" s="24"/>
      <c r="R1" s="24"/>
      <c r="S1" s="24"/>
      <c r="T1" s="24"/>
      <c r="U1" s="24"/>
      <c r="V1" s="24"/>
      <c r="W1" s="24"/>
      <c r="X1" s="20"/>
    </row>
    <row r="2">
      <c r="A2" s="12"/>
      <c r="B2" s="47" t="s">
        <v>137</v>
      </c>
      <c r="C2" s="47" t="s">
        <v>138</v>
      </c>
      <c r="D2" s="47" t="s">
        <v>139</v>
      </c>
      <c r="E2" s="12"/>
      <c r="F2" s="12"/>
      <c r="G2" s="12"/>
      <c r="H2" s="12"/>
      <c r="I2" s="12"/>
      <c r="J2" s="12"/>
      <c r="K2" s="12"/>
      <c r="L2" s="12"/>
      <c r="M2" s="12"/>
      <c r="N2" s="12"/>
      <c r="O2" s="12"/>
      <c r="P2" s="12"/>
      <c r="Q2" s="12"/>
      <c r="R2" s="12"/>
      <c r="S2" s="12"/>
      <c r="T2" s="12"/>
      <c r="U2" s="12"/>
      <c r="V2" s="12"/>
      <c r="W2" s="12"/>
      <c r="X2" s="12"/>
    </row>
    <row r="3">
      <c r="A3" s="42"/>
      <c r="B3" s="48">
        <v>0.7864</v>
      </c>
      <c r="C3" s="49">
        <f t="shared" ref="C3:C102" si="1">B3-$G$4</f>
        <v>0.2374</v>
      </c>
      <c r="D3" s="27">
        <f t="shared" ref="D3:D102" si="2">POWER(C3,2)</f>
        <v>0.05635876</v>
      </c>
      <c r="E3" s="12"/>
      <c r="F3" s="26" t="s">
        <v>121</v>
      </c>
      <c r="G3" s="50">
        <v>100.0</v>
      </c>
      <c r="H3" s="12"/>
      <c r="I3" s="51" t="s">
        <v>123</v>
      </c>
      <c r="J3" s="12"/>
      <c r="K3" s="12"/>
      <c r="L3" s="12"/>
      <c r="M3" s="12"/>
      <c r="N3" s="12"/>
      <c r="O3" s="12"/>
      <c r="P3" s="12"/>
      <c r="Q3" s="12"/>
      <c r="R3" s="12"/>
      <c r="S3" s="12"/>
      <c r="T3" s="12"/>
      <c r="U3" s="12"/>
      <c r="V3" s="12"/>
      <c r="W3" s="12"/>
      <c r="X3" s="12"/>
    </row>
    <row r="4">
      <c r="A4" s="33"/>
      <c r="B4" s="48">
        <v>0.8679</v>
      </c>
      <c r="C4" s="35">
        <f t="shared" si="1"/>
        <v>0.3189</v>
      </c>
      <c r="D4" s="27">
        <f t="shared" si="2"/>
        <v>0.10169721</v>
      </c>
      <c r="E4" s="12"/>
      <c r="F4" s="26" t="s">
        <v>125</v>
      </c>
      <c r="G4" s="52">
        <v>0.549</v>
      </c>
      <c r="H4" s="12"/>
      <c r="I4" s="33"/>
      <c r="J4" s="33"/>
      <c r="K4" s="33"/>
      <c r="L4" s="33"/>
      <c r="M4" s="33"/>
      <c r="N4" s="33"/>
      <c r="O4" s="12"/>
      <c r="P4" s="12"/>
      <c r="Q4" s="12"/>
      <c r="R4" s="12"/>
      <c r="S4" s="12"/>
      <c r="T4" s="12"/>
      <c r="U4" s="12"/>
      <c r="V4" s="12"/>
      <c r="W4" s="12"/>
      <c r="X4" s="12"/>
    </row>
    <row r="5">
      <c r="A5" s="12"/>
      <c r="B5" s="48">
        <v>0.2069</v>
      </c>
      <c r="C5" s="49">
        <f t="shared" si="1"/>
        <v>-0.3421</v>
      </c>
      <c r="D5" s="27">
        <f t="shared" si="2"/>
        <v>0.11703241</v>
      </c>
      <c r="E5" s="12"/>
      <c r="F5" s="12"/>
      <c r="G5" s="12"/>
      <c r="H5" s="12"/>
      <c r="I5" s="12"/>
      <c r="J5" s="12"/>
      <c r="K5" s="12"/>
      <c r="L5" s="12"/>
      <c r="M5" s="12"/>
      <c r="N5" s="12"/>
      <c r="O5" s="12"/>
      <c r="P5" s="12"/>
      <c r="Q5" s="12"/>
      <c r="R5" s="12"/>
      <c r="S5" s="12"/>
      <c r="T5" s="12"/>
      <c r="U5" s="12"/>
      <c r="V5" s="12"/>
      <c r="W5" s="12"/>
      <c r="X5" s="12"/>
    </row>
    <row r="6">
      <c r="A6" s="12"/>
      <c r="B6" s="48">
        <v>0.0153</v>
      </c>
      <c r="C6" s="35">
        <f t="shared" si="1"/>
        <v>-0.5337</v>
      </c>
      <c r="D6" s="27">
        <f t="shared" si="2"/>
        <v>0.28483569</v>
      </c>
      <c r="E6" s="12"/>
      <c r="F6" s="12"/>
      <c r="G6" s="12"/>
      <c r="H6" s="12"/>
      <c r="I6" s="12"/>
      <c r="J6" s="12"/>
      <c r="K6" s="12"/>
      <c r="L6" s="12"/>
      <c r="M6" s="12"/>
      <c r="N6" s="12"/>
      <c r="O6" s="12"/>
      <c r="P6" s="12"/>
      <c r="Q6" s="12"/>
      <c r="R6" s="12"/>
      <c r="S6" s="12"/>
      <c r="T6" s="12"/>
      <c r="U6" s="12"/>
      <c r="V6" s="12"/>
      <c r="W6" s="12"/>
      <c r="X6" s="12"/>
    </row>
    <row r="7">
      <c r="A7" s="12"/>
      <c r="B7" s="48">
        <v>0.8145</v>
      </c>
      <c r="C7" s="49">
        <f t="shared" si="1"/>
        <v>0.2655</v>
      </c>
      <c r="D7" s="27">
        <f t="shared" si="2"/>
        <v>0.07049025</v>
      </c>
      <c r="E7" s="12"/>
      <c r="F7" s="12"/>
      <c r="G7" s="12"/>
      <c r="H7" s="12"/>
      <c r="I7" s="12"/>
      <c r="J7" s="12"/>
      <c r="K7" s="12"/>
      <c r="L7" s="12"/>
      <c r="M7" s="12"/>
      <c r="N7" s="12"/>
      <c r="O7" s="12"/>
      <c r="P7" s="12"/>
      <c r="Q7" s="12"/>
      <c r="R7" s="12"/>
      <c r="S7" s="12"/>
      <c r="T7" s="12"/>
      <c r="U7" s="12"/>
      <c r="V7" s="12"/>
      <c r="W7" s="12"/>
      <c r="X7" s="12"/>
    </row>
    <row r="8">
      <c r="A8" s="12"/>
      <c r="B8" s="48">
        <v>0.3639</v>
      </c>
      <c r="C8" s="35">
        <f t="shared" si="1"/>
        <v>-0.1851</v>
      </c>
      <c r="D8" s="27">
        <f t="shared" si="2"/>
        <v>0.03426201</v>
      </c>
      <c r="E8" s="12"/>
      <c r="F8" s="28" t="s">
        <v>140</v>
      </c>
      <c r="G8" s="43">
        <f>D103/($G$3-1)</f>
        <v>0.08668597172</v>
      </c>
      <c r="H8" s="35">
        <f>_xlfn.VAR.S(B3:B102)</f>
        <v>0.08668577259</v>
      </c>
      <c r="I8" s="12"/>
      <c r="J8" s="53" t="s">
        <v>141</v>
      </c>
      <c r="K8" s="54">
        <f>G3-1</f>
        <v>99</v>
      </c>
      <c r="L8" s="12"/>
      <c r="M8" s="12"/>
      <c r="N8" s="26" t="s">
        <v>142</v>
      </c>
      <c r="O8" s="55">
        <f>L9/2</f>
        <v>0.025</v>
      </c>
      <c r="P8" s="12"/>
      <c r="Q8" s="12"/>
      <c r="R8" s="12"/>
      <c r="S8" s="12"/>
      <c r="T8" s="12"/>
      <c r="U8" s="12"/>
      <c r="V8" s="12"/>
      <c r="W8" s="12"/>
      <c r="X8" s="12"/>
    </row>
    <row r="9">
      <c r="A9" s="12"/>
      <c r="B9" s="48">
        <v>0.374</v>
      </c>
      <c r="C9" s="49">
        <f t="shared" si="1"/>
        <v>-0.175</v>
      </c>
      <c r="D9" s="27">
        <f t="shared" si="2"/>
        <v>0.030625</v>
      </c>
      <c r="E9" s="12"/>
      <c r="F9" s="56" t="s">
        <v>143</v>
      </c>
      <c r="G9" s="57">
        <f>1-G8</f>
        <v>0.9133140283</v>
      </c>
      <c r="H9" s="33"/>
      <c r="I9" s="12"/>
      <c r="J9" s="38" t="s">
        <v>144</v>
      </c>
      <c r="K9" s="58">
        <v>0.05</v>
      </c>
      <c r="L9" s="59">
        <v>0.05</v>
      </c>
      <c r="M9" s="12"/>
      <c r="N9" s="38" t="s">
        <v>145</v>
      </c>
      <c r="O9" s="60">
        <f>1-O8</f>
        <v>0.975</v>
      </c>
      <c r="P9" s="12"/>
      <c r="Q9" s="12"/>
      <c r="R9" s="12"/>
      <c r="S9" s="12"/>
      <c r="T9" s="12"/>
      <c r="U9" s="12"/>
      <c r="V9" s="12"/>
      <c r="W9" s="12"/>
      <c r="X9" s="12"/>
    </row>
    <row r="10">
      <c r="A10" s="12"/>
      <c r="B10" s="48">
        <v>0.9117</v>
      </c>
      <c r="C10" s="35">
        <f t="shared" si="1"/>
        <v>0.3627</v>
      </c>
      <c r="D10" s="27">
        <f t="shared" si="2"/>
        <v>0.13155129</v>
      </c>
      <c r="E10" s="12"/>
      <c r="F10" s="51" t="s">
        <v>146</v>
      </c>
      <c r="G10" s="61">
        <f t="shared" ref="G10:G11" si="3">ROUND(H10,2)</f>
        <v>73.36</v>
      </c>
      <c r="H10" s="40">
        <f>_xlfn.CHISQ.INV.RT(O9,K8)</f>
        <v>73.36108019</v>
      </c>
      <c r="I10" s="12"/>
      <c r="J10" s="62" t="s">
        <v>147</v>
      </c>
      <c r="K10" s="12"/>
      <c r="L10" s="12"/>
      <c r="M10" s="12"/>
      <c r="N10" s="12"/>
      <c r="O10" s="12"/>
      <c r="P10" s="12"/>
      <c r="Q10" s="12"/>
      <c r="R10" s="12"/>
      <c r="S10" s="12"/>
      <c r="T10" s="12"/>
      <c r="U10" s="12"/>
      <c r="V10" s="12"/>
      <c r="W10" s="12"/>
      <c r="X10" s="12"/>
    </row>
    <row r="11">
      <c r="A11" s="12"/>
      <c r="B11" s="48">
        <v>0.5389</v>
      </c>
      <c r="C11" s="49">
        <f t="shared" si="1"/>
        <v>-0.0101</v>
      </c>
      <c r="D11" s="27">
        <f t="shared" si="2"/>
        <v>0.00010201</v>
      </c>
      <c r="E11" s="12"/>
      <c r="F11" s="51" t="s">
        <v>148</v>
      </c>
      <c r="G11" s="61">
        <f t="shared" si="3"/>
        <v>128.42</v>
      </c>
      <c r="H11" s="40">
        <f>_xlfn.CHISQ.INV.RT(O8,K8)</f>
        <v>128.4219886</v>
      </c>
      <c r="I11" s="12"/>
      <c r="J11" s="62" t="s">
        <v>149</v>
      </c>
      <c r="K11" s="12"/>
      <c r="L11" s="12"/>
      <c r="M11" s="12"/>
      <c r="N11" s="12"/>
      <c r="O11" s="12"/>
      <c r="P11" s="12"/>
      <c r="Q11" s="12"/>
      <c r="R11" s="12"/>
      <c r="S11" s="12"/>
      <c r="T11" s="12"/>
      <c r="U11" s="12"/>
      <c r="V11" s="12"/>
      <c r="W11" s="12"/>
      <c r="X11" s="12"/>
    </row>
    <row r="12">
      <c r="A12" s="12"/>
      <c r="B12" s="48">
        <v>0.691</v>
      </c>
      <c r="C12" s="35">
        <f t="shared" si="1"/>
        <v>0.142</v>
      </c>
      <c r="D12" s="27">
        <f t="shared" si="2"/>
        <v>0.020164</v>
      </c>
      <c r="E12" s="12"/>
      <c r="F12" s="12"/>
      <c r="G12" s="12"/>
      <c r="H12" s="12"/>
      <c r="I12" s="12"/>
      <c r="J12" s="12"/>
      <c r="K12" s="12"/>
      <c r="L12" s="12"/>
      <c r="M12" s="12"/>
      <c r="N12" s="12"/>
      <c r="O12" s="12"/>
      <c r="P12" s="12"/>
      <c r="Q12" s="12"/>
      <c r="R12" s="12"/>
      <c r="S12" s="12"/>
      <c r="T12" s="12"/>
      <c r="U12" s="12"/>
      <c r="V12" s="12"/>
      <c r="W12" s="12"/>
      <c r="X12" s="12"/>
    </row>
    <row r="13">
      <c r="A13" s="12"/>
      <c r="B13" s="48">
        <v>0.7888</v>
      </c>
      <c r="C13" s="49">
        <f t="shared" si="1"/>
        <v>0.2398</v>
      </c>
      <c r="D13" s="27">
        <f t="shared" si="2"/>
        <v>0.05750404</v>
      </c>
      <c r="E13" s="12"/>
      <c r="F13" s="56" t="s">
        <v>150</v>
      </c>
      <c r="G13" s="43">
        <f t="shared" ref="G13:G14" si="4">G10/(12*($G$3-1))</f>
        <v>0.06175084175</v>
      </c>
      <c r="H13" s="12"/>
      <c r="I13" s="12"/>
      <c r="J13" s="12"/>
      <c r="K13" s="12"/>
      <c r="L13" s="12"/>
      <c r="M13" s="12"/>
      <c r="N13" s="12"/>
      <c r="O13" s="12"/>
      <c r="P13" s="12"/>
      <c r="Q13" s="12"/>
      <c r="R13" s="12"/>
      <c r="S13" s="12"/>
      <c r="T13" s="12"/>
      <c r="U13" s="12"/>
      <c r="V13" s="12"/>
      <c r="W13" s="12"/>
      <c r="X13" s="12"/>
    </row>
    <row r="14">
      <c r="A14" s="12"/>
      <c r="B14" s="48">
        <v>0.9957</v>
      </c>
      <c r="C14" s="35">
        <f t="shared" si="1"/>
        <v>0.4467</v>
      </c>
      <c r="D14" s="27">
        <f t="shared" si="2"/>
        <v>0.19954089</v>
      </c>
      <c r="E14" s="12"/>
      <c r="F14" s="56" t="s">
        <v>151</v>
      </c>
      <c r="G14" s="43">
        <f t="shared" si="4"/>
        <v>0.1080976431</v>
      </c>
      <c r="H14" s="12"/>
      <c r="I14" s="12"/>
      <c r="J14" s="12"/>
      <c r="K14" s="12"/>
      <c r="L14" s="12"/>
      <c r="M14" s="12"/>
      <c r="N14" s="12"/>
      <c r="O14" s="12"/>
      <c r="P14" s="12"/>
      <c r="Q14" s="12"/>
      <c r="R14" s="12"/>
      <c r="S14" s="12"/>
      <c r="T14" s="12"/>
      <c r="U14" s="12"/>
      <c r="V14" s="12"/>
      <c r="W14" s="12"/>
      <c r="X14" s="12"/>
    </row>
    <row r="15">
      <c r="A15" s="12"/>
      <c r="B15" s="48">
        <v>0.011</v>
      </c>
      <c r="C15" s="49">
        <f t="shared" si="1"/>
        <v>-0.538</v>
      </c>
      <c r="D15" s="27">
        <f t="shared" si="2"/>
        <v>0.289444</v>
      </c>
      <c r="E15" s="12"/>
      <c r="F15" s="12"/>
      <c r="G15" s="12"/>
      <c r="H15" s="12"/>
      <c r="I15" s="12"/>
      <c r="J15" s="12"/>
      <c r="K15" s="12"/>
      <c r="L15" s="12"/>
      <c r="M15" s="12"/>
      <c r="N15" s="12"/>
      <c r="O15" s="12"/>
      <c r="P15" s="12"/>
      <c r="Q15" s="12"/>
      <c r="R15" s="12"/>
      <c r="S15" s="12"/>
      <c r="T15" s="12"/>
      <c r="U15" s="12"/>
      <c r="V15" s="12"/>
      <c r="W15" s="12"/>
      <c r="X15" s="12"/>
    </row>
    <row r="16">
      <c r="A16" s="12"/>
      <c r="B16" s="48">
        <v>0.5856</v>
      </c>
      <c r="C16" s="35">
        <f t="shared" si="1"/>
        <v>0.0366</v>
      </c>
      <c r="D16" s="27">
        <f t="shared" si="2"/>
        <v>0.00133956</v>
      </c>
      <c r="E16" s="12"/>
      <c r="F16" s="63" t="s">
        <v>152</v>
      </c>
      <c r="X16" s="12"/>
    </row>
    <row r="17">
      <c r="A17" s="12"/>
      <c r="B17" s="48">
        <v>0.1773</v>
      </c>
      <c r="C17" s="49">
        <f t="shared" si="1"/>
        <v>-0.3717</v>
      </c>
      <c r="D17" s="27">
        <f t="shared" si="2"/>
        <v>0.13816089</v>
      </c>
      <c r="E17" s="12"/>
      <c r="F17" s="12"/>
      <c r="G17" s="12"/>
      <c r="H17" s="12"/>
      <c r="I17" s="12"/>
      <c r="J17" s="12"/>
      <c r="K17" s="12"/>
      <c r="L17" s="12"/>
      <c r="M17" s="12"/>
      <c r="N17" s="12"/>
      <c r="O17" s="12"/>
      <c r="P17" s="12"/>
      <c r="Q17" s="12"/>
      <c r="R17" s="12"/>
      <c r="S17" s="12"/>
      <c r="T17" s="12"/>
      <c r="U17" s="12"/>
      <c r="V17" s="12"/>
      <c r="W17" s="12"/>
      <c r="X17" s="12"/>
    </row>
    <row r="18">
      <c r="A18" s="12"/>
      <c r="B18" s="48">
        <v>0.4394</v>
      </c>
      <c r="C18" s="35">
        <f t="shared" si="1"/>
        <v>-0.1096</v>
      </c>
      <c r="D18" s="27">
        <f t="shared" si="2"/>
        <v>0.01201216</v>
      </c>
      <c r="E18" s="12"/>
      <c r="F18" s="12"/>
      <c r="G18" s="12"/>
      <c r="H18" s="12"/>
      <c r="I18" s="12"/>
      <c r="J18" s="12"/>
      <c r="K18" s="12"/>
      <c r="L18" s="12"/>
      <c r="M18" s="12"/>
      <c r="N18" s="12"/>
      <c r="O18" s="12"/>
      <c r="P18" s="12"/>
      <c r="Q18" s="12"/>
      <c r="R18" s="12"/>
      <c r="S18" s="12"/>
      <c r="T18" s="12"/>
      <c r="U18" s="12"/>
      <c r="V18" s="12"/>
      <c r="W18" s="12"/>
      <c r="X18" s="12"/>
    </row>
    <row r="19">
      <c r="A19" s="12"/>
      <c r="B19" s="48">
        <v>0.3936</v>
      </c>
      <c r="C19" s="49">
        <f t="shared" si="1"/>
        <v>-0.1554</v>
      </c>
      <c r="D19" s="27">
        <f t="shared" si="2"/>
        <v>0.02414916</v>
      </c>
      <c r="E19" s="12"/>
      <c r="F19" s="12"/>
      <c r="G19" s="12"/>
      <c r="H19" s="12"/>
      <c r="I19" s="64">
        <v>0.0618</v>
      </c>
      <c r="J19" s="12" t="s">
        <v>134</v>
      </c>
      <c r="K19" s="65">
        <v>0.0867</v>
      </c>
      <c r="L19" s="12" t="s">
        <v>134</v>
      </c>
      <c r="M19" s="64">
        <v>0.1081</v>
      </c>
      <c r="N19" s="12"/>
      <c r="O19" s="12"/>
      <c r="P19" s="12"/>
      <c r="Q19" s="12"/>
      <c r="R19" s="12"/>
      <c r="S19" s="12"/>
      <c r="T19" s="12"/>
      <c r="U19" s="12"/>
      <c r="V19" s="12"/>
      <c r="W19" s="12"/>
      <c r="X19" s="12"/>
    </row>
    <row r="20">
      <c r="A20" s="12"/>
      <c r="B20" s="48">
        <v>0.9552</v>
      </c>
      <c r="C20" s="35">
        <f t="shared" si="1"/>
        <v>0.4062</v>
      </c>
      <c r="D20" s="27">
        <f t="shared" si="2"/>
        <v>0.16499844</v>
      </c>
      <c r="E20" s="12"/>
      <c r="F20" s="12"/>
      <c r="G20" s="12"/>
      <c r="H20" s="12"/>
      <c r="I20" s="12"/>
      <c r="J20" s="12"/>
      <c r="K20" s="12"/>
      <c r="L20" s="12"/>
      <c r="M20" s="12"/>
      <c r="N20" s="12"/>
      <c r="O20" s="12"/>
      <c r="P20" s="12"/>
      <c r="Q20" s="12"/>
      <c r="R20" s="12"/>
      <c r="S20" s="12"/>
      <c r="T20" s="12"/>
      <c r="U20" s="12"/>
      <c r="V20" s="12"/>
      <c r="W20" s="12"/>
      <c r="X20" s="12"/>
    </row>
    <row r="21">
      <c r="A21" s="12"/>
      <c r="B21" s="48">
        <v>0.8548</v>
      </c>
      <c r="C21" s="49">
        <f t="shared" si="1"/>
        <v>0.3058</v>
      </c>
      <c r="D21" s="27">
        <f t="shared" si="2"/>
        <v>0.09351364</v>
      </c>
      <c r="E21" s="12"/>
      <c r="F21" s="12"/>
      <c r="G21" s="12"/>
      <c r="H21" s="12"/>
      <c r="I21" s="12"/>
      <c r="J21" s="12"/>
      <c r="K21" s="12"/>
      <c r="L21" s="12"/>
      <c r="M21" s="12"/>
      <c r="N21" s="12"/>
      <c r="O21" s="12"/>
      <c r="P21" s="12"/>
      <c r="Q21" s="12"/>
      <c r="R21" s="12"/>
      <c r="S21" s="12"/>
      <c r="T21" s="12"/>
      <c r="U21" s="12"/>
      <c r="V21" s="12"/>
      <c r="W21" s="12"/>
      <c r="X21" s="12"/>
    </row>
    <row r="22">
      <c r="A22" s="12"/>
      <c r="B22" s="48">
        <v>0.5095</v>
      </c>
      <c r="C22" s="35">
        <f t="shared" si="1"/>
        <v>-0.0395</v>
      </c>
      <c r="D22" s="27">
        <f t="shared" si="2"/>
        <v>0.00156025</v>
      </c>
      <c r="E22" s="12"/>
      <c r="F22" s="12"/>
      <c r="G22" s="12"/>
      <c r="H22" s="12"/>
      <c r="I22" s="12"/>
      <c r="J22" s="12"/>
      <c r="K22" s="12"/>
      <c r="L22" s="12"/>
      <c r="M22" s="12"/>
      <c r="N22" s="12"/>
      <c r="O22" s="12"/>
      <c r="P22" s="12"/>
      <c r="Q22" s="12"/>
      <c r="R22" s="12"/>
      <c r="S22" s="12"/>
      <c r="T22" s="12"/>
      <c r="U22" s="12"/>
      <c r="V22" s="12"/>
      <c r="W22" s="12"/>
      <c r="X22" s="12"/>
    </row>
    <row r="23">
      <c r="A23" s="12"/>
      <c r="B23" s="48">
        <v>0.1257</v>
      </c>
      <c r="C23" s="49">
        <f t="shared" si="1"/>
        <v>-0.4233</v>
      </c>
      <c r="D23" s="27">
        <f t="shared" si="2"/>
        <v>0.17918289</v>
      </c>
      <c r="E23" s="12"/>
      <c r="F23" s="12"/>
      <c r="G23" s="12"/>
      <c r="H23" s="12"/>
      <c r="I23" s="12"/>
      <c r="J23" s="12"/>
      <c r="K23" s="12"/>
      <c r="L23" s="12"/>
      <c r="M23" s="12"/>
      <c r="N23" s="12"/>
      <c r="O23" s="12"/>
      <c r="P23" s="12"/>
      <c r="Q23" s="12"/>
      <c r="R23" s="12"/>
      <c r="S23" s="12"/>
      <c r="T23" s="12"/>
      <c r="U23" s="12"/>
      <c r="V23" s="12"/>
      <c r="W23" s="12"/>
      <c r="X23" s="12"/>
    </row>
    <row r="24">
      <c r="A24" s="12"/>
      <c r="B24" s="48">
        <v>0.6922</v>
      </c>
      <c r="C24" s="35">
        <f t="shared" si="1"/>
        <v>0.1432</v>
      </c>
      <c r="D24" s="27">
        <f t="shared" si="2"/>
        <v>0.02050624</v>
      </c>
      <c r="E24" s="12"/>
      <c r="F24" s="12"/>
      <c r="G24" s="12"/>
      <c r="H24" s="12"/>
      <c r="I24" s="12"/>
      <c r="J24" s="12"/>
      <c r="K24" s="12"/>
      <c r="L24" s="12"/>
      <c r="M24" s="12"/>
      <c r="N24" s="12"/>
      <c r="O24" s="12"/>
      <c r="P24" s="12"/>
      <c r="Q24" s="12"/>
      <c r="R24" s="12"/>
      <c r="S24" s="12"/>
      <c r="T24" s="12"/>
      <c r="U24" s="12"/>
      <c r="V24" s="12"/>
      <c r="W24" s="12"/>
      <c r="X24" s="12"/>
    </row>
    <row r="25">
      <c r="A25" s="12"/>
      <c r="B25" s="48">
        <v>0.8527</v>
      </c>
      <c r="C25" s="49">
        <f t="shared" si="1"/>
        <v>0.3037</v>
      </c>
      <c r="D25" s="27">
        <f t="shared" si="2"/>
        <v>0.09223369</v>
      </c>
      <c r="E25" s="12"/>
      <c r="F25" s="12"/>
      <c r="G25" s="12"/>
      <c r="H25" s="12"/>
      <c r="I25" s="12"/>
      <c r="J25" s="12"/>
      <c r="K25" s="12"/>
      <c r="L25" s="12"/>
      <c r="M25" s="12"/>
      <c r="N25" s="12"/>
      <c r="O25" s="12"/>
      <c r="P25" s="12"/>
      <c r="Q25" s="12"/>
      <c r="R25" s="12"/>
      <c r="S25" s="12"/>
      <c r="T25" s="12"/>
      <c r="U25" s="12"/>
      <c r="V25" s="12"/>
      <c r="W25" s="12"/>
      <c r="X25" s="12"/>
    </row>
    <row r="26">
      <c r="A26" s="12"/>
      <c r="B26" s="48">
        <v>0.3977</v>
      </c>
      <c r="C26" s="35">
        <f t="shared" si="1"/>
        <v>-0.1513</v>
      </c>
      <c r="D26" s="27">
        <f t="shared" si="2"/>
        <v>0.02289169</v>
      </c>
      <c r="E26" s="12"/>
      <c r="F26" s="12"/>
      <c r="G26" s="12"/>
      <c r="H26" s="12"/>
      <c r="I26" s="12"/>
      <c r="J26" s="12"/>
      <c r="K26" s="12"/>
      <c r="L26" s="12"/>
      <c r="M26" s="12"/>
      <c r="N26" s="12"/>
      <c r="O26" s="12"/>
      <c r="P26" s="12"/>
      <c r="Q26" s="12"/>
      <c r="R26" s="12"/>
      <c r="S26" s="12"/>
      <c r="T26" s="12"/>
      <c r="U26" s="12"/>
      <c r="V26" s="12"/>
      <c r="W26" s="12"/>
      <c r="X26" s="12"/>
    </row>
    <row r="27">
      <c r="A27" s="12"/>
      <c r="B27" s="48">
        <v>0.1735</v>
      </c>
      <c r="C27" s="49">
        <f t="shared" si="1"/>
        <v>-0.3755</v>
      </c>
      <c r="D27" s="27">
        <f t="shared" si="2"/>
        <v>0.14100025</v>
      </c>
      <c r="E27" s="12"/>
      <c r="F27" s="12"/>
      <c r="G27" s="12"/>
      <c r="H27" s="12"/>
      <c r="I27" s="12"/>
      <c r="J27" s="12"/>
      <c r="K27" s="12"/>
      <c r="L27" s="12"/>
      <c r="M27" s="12"/>
      <c r="N27" s="12"/>
      <c r="O27" s="12"/>
      <c r="P27" s="12"/>
      <c r="Q27" s="12"/>
      <c r="R27" s="12"/>
      <c r="S27" s="12"/>
      <c r="T27" s="12"/>
      <c r="U27" s="12"/>
      <c r="V27" s="12"/>
      <c r="W27" s="12"/>
      <c r="X27" s="12"/>
    </row>
    <row r="28">
      <c r="A28" s="12"/>
      <c r="B28" s="48">
        <v>0.2371</v>
      </c>
      <c r="C28" s="35">
        <f t="shared" si="1"/>
        <v>-0.3119</v>
      </c>
      <c r="D28" s="27">
        <f t="shared" si="2"/>
        <v>0.09728161</v>
      </c>
      <c r="E28" s="12"/>
      <c r="F28" s="12"/>
      <c r="G28" s="12"/>
      <c r="H28" s="12"/>
      <c r="I28" s="12"/>
      <c r="J28" s="12"/>
      <c r="K28" s="12"/>
      <c r="L28" s="12"/>
      <c r="M28" s="12"/>
      <c r="N28" s="12"/>
      <c r="O28" s="12"/>
      <c r="P28" s="12"/>
      <c r="Q28" s="12"/>
      <c r="R28" s="12"/>
      <c r="S28" s="12"/>
      <c r="T28" s="12"/>
      <c r="U28" s="12"/>
      <c r="V28" s="12"/>
      <c r="W28" s="12"/>
      <c r="X28" s="12"/>
    </row>
    <row r="29">
      <c r="A29" s="12"/>
      <c r="B29" s="48">
        <v>0.6232</v>
      </c>
      <c r="C29" s="49">
        <f t="shared" si="1"/>
        <v>0.0742</v>
      </c>
      <c r="D29" s="27">
        <f t="shared" si="2"/>
        <v>0.00550564</v>
      </c>
      <c r="E29" s="12"/>
      <c r="F29" s="12"/>
      <c r="G29" s="12"/>
      <c r="H29" s="12"/>
      <c r="I29" s="12"/>
      <c r="J29" s="12"/>
      <c r="K29" s="12"/>
      <c r="L29" s="12"/>
      <c r="M29" s="12"/>
      <c r="N29" s="12"/>
      <c r="O29" s="12"/>
      <c r="P29" s="12"/>
      <c r="Q29" s="12"/>
      <c r="R29" s="12"/>
      <c r="S29" s="12"/>
      <c r="T29" s="12"/>
      <c r="U29" s="12"/>
      <c r="V29" s="12"/>
      <c r="W29" s="12"/>
      <c r="X29" s="12"/>
    </row>
    <row r="30">
      <c r="A30" s="12"/>
      <c r="B30" s="48">
        <v>0.1791</v>
      </c>
      <c r="C30" s="35">
        <f t="shared" si="1"/>
        <v>-0.3699</v>
      </c>
      <c r="D30" s="27">
        <f t="shared" si="2"/>
        <v>0.13682601</v>
      </c>
      <c r="E30" s="12"/>
      <c r="F30" s="12"/>
      <c r="G30" s="12"/>
      <c r="H30" s="12"/>
      <c r="I30" s="12"/>
      <c r="J30" s="12"/>
      <c r="K30" s="12"/>
      <c r="L30" s="12"/>
      <c r="M30" s="12"/>
      <c r="N30" s="12"/>
      <c r="O30" s="12"/>
      <c r="P30" s="12"/>
      <c r="Q30" s="12"/>
      <c r="R30" s="12"/>
      <c r="S30" s="12"/>
      <c r="T30" s="12"/>
      <c r="U30" s="12"/>
      <c r="V30" s="12"/>
      <c r="W30" s="12"/>
      <c r="X30" s="12"/>
    </row>
    <row r="31">
      <c r="A31" s="12"/>
      <c r="B31" s="48">
        <v>0.5352</v>
      </c>
      <c r="C31" s="49">
        <f t="shared" si="1"/>
        <v>-0.0138</v>
      </c>
      <c r="D31" s="27">
        <f t="shared" si="2"/>
        <v>0.00019044</v>
      </c>
      <c r="E31" s="12"/>
      <c r="F31" s="12"/>
      <c r="G31" s="12"/>
      <c r="H31" s="12"/>
      <c r="I31" s="12"/>
      <c r="J31" s="12"/>
      <c r="K31" s="12"/>
      <c r="L31" s="12"/>
      <c r="M31" s="12"/>
      <c r="N31" s="12"/>
      <c r="O31" s="12"/>
      <c r="P31" s="12"/>
      <c r="Q31" s="12"/>
      <c r="R31" s="12"/>
      <c r="S31" s="12"/>
      <c r="T31" s="12"/>
      <c r="U31" s="12"/>
      <c r="V31" s="12"/>
      <c r="W31" s="12"/>
      <c r="X31" s="12"/>
    </row>
    <row r="32">
      <c r="A32" s="12"/>
      <c r="B32" s="48">
        <v>0.494</v>
      </c>
      <c r="C32" s="35">
        <f t="shared" si="1"/>
        <v>-0.055</v>
      </c>
      <c r="D32" s="27">
        <f t="shared" si="2"/>
        <v>0.003025</v>
      </c>
      <c r="E32" s="12"/>
      <c r="F32" s="12"/>
      <c r="G32" s="12"/>
      <c r="H32" s="12"/>
      <c r="I32" s="12"/>
      <c r="J32" s="12"/>
      <c r="K32" s="12"/>
      <c r="L32" s="12"/>
      <c r="M32" s="12"/>
      <c r="N32" s="12"/>
      <c r="O32" s="12"/>
      <c r="P32" s="12"/>
      <c r="Q32" s="12"/>
      <c r="R32" s="12"/>
      <c r="S32" s="12"/>
      <c r="T32" s="12"/>
      <c r="U32" s="12"/>
      <c r="V32" s="12"/>
      <c r="W32" s="12"/>
      <c r="X32" s="12"/>
    </row>
    <row r="33">
      <c r="A33" s="12"/>
      <c r="B33" s="48">
        <v>0.3005</v>
      </c>
      <c r="C33" s="49">
        <f t="shared" si="1"/>
        <v>-0.2485</v>
      </c>
      <c r="D33" s="27">
        <f t="shared" si="2"/>
        <v>0.06175225</v>
      </c>
      <c r="E33" s="12"/>
      <c r="F33" s="12"/>
      <c r="G33" s="12"/>
      <c r="H33" s="12"/>
      <c r="I33" s="12"/>
      <c r="J33" s="12"/>
      <c r="K33" s="12"/>
      <c r="L33" s="12"/>
      <c r="M33" s="12"/>
      <c r="N33" s="12"/>
      <c r="O33" s="12"/>
      <c r="P33" s="12"/>
      <c r="Q33" s="12"/>
      <c r="R33" s="12"/>
      <c r="S33" s="12"/>
      <c r="T33" s="12"/>
      <c r="U33" s="12"/>
      <c r="V33" s="12"/>
      <c r="W33" s="12"/>
      <c r="X33" s="12"/>
    </row>
    <row r="34">
      <c r="A34" s="12"/>
      <c r="B34" s="48">
        <v>0.9986</v>
      </c>
      <c r="C34" s="35">
        <f t="shared" si="1"/>
        <v>0.4496</v>
      </c>
      <c r="D34" s="27">
        <f t="shared" si="2"/>
        <v>0.20214016</v>
      </c>
      <c r="E34" s="12"/>
      <c r="F34" s="12"/>
      <c r="G34" s="12"/>
      <c r="H34" s="12"/>
      <c r="I34" s="12"/>
      <c r="J34" s="12"/>
      <c r="K34" s="12"/>
      <c r="L34" s="12"/>
      <c r="M34" s="12"/>
      <c r="N34" s="12"/>
      <c r="O34" s="12"/>
      <c r="P34" s="12"/>
      <c r="Q34" s="12"/>
      <c r="R34" s="12"/>
      <c r="S34" s="12"/>
      <c r="T34" s="12"/>
      <c r="U34" s="12"/>
      <c r="V34" s="12"/>
      <c r="W34" s="12"/>
      <c r="X34" s="12"/>
    </row>
    <row r="35">
      <c r="A35" s="12"/>
      <c r="B35" s="48">
        <v>0.1654</v>
      </c>
      <c r="C35" s="49">
        <f t="shared" si="1"/>
        <v>-0.3836</v>
      </c>
      <c r="D35" s="27">
        <f t="shared" si="2"/>
        <v>0.14714896</v>
      </c>
      <c r="E35" s="12"/>
      <c r="F35" s="12"/>
      <c r="G35" s="12"/>
      <c r="H35" s="12"/>
      <c r="I35" s="12"/>
      <c r="J35" s="12"/>
      <c r="K35" s="12"/>
      <c r="L35" s="12"/>
      <c r="M35" s="12"/>
      <c r="N35" s="12"/>
      <c r="O35" s="12"/>
      <c r="P35" s="12"/>
      <c r="Q35" s="12"/>
      <c r="R35" s="12"/>
      <c r="S35" s="12"/>
      <c r="T35" s="12"/>
      <c r="U35" s="12"/>
      <c r="V35" s="12"/>
      <c r="W35" s="12"/>
      <c r="X35" s="12"/>
    </row>
    <row r="36">
      <c r="A36" s="12"/>
      <c r="B36" s="48">
        <v>0.8058</v>
      </c>
      <c r="C36" s="35">
        <f t="shared" si="1"/>
        <v>0.2568</v>
      </c>
      <c r="D36" s="27">
        <f t="shared" si="2"/>
        <v>0.06594624</v>
      </c>
      <c r="E36" s="12"/>
      <c r="F36" s="12"/>
      <c r="G36" s="12"/>
      <c r="H36" s="12"/>
      <c r="I36" s="12"/>
      <c r="J36" s="12"/>
      <c r="K36" s="12"/>
      <c r="L36" s="12"/>
      <c r="M36" s="12"/>
      <c r="N36" s="12"/>
      <c r="O36" s="12"/>
      <c r="P36" s="12"/>
      <c r="Q36" s="12"/>
      <c r="R36" s="12"/>
      <c r="S36" s="12"/>
      <c r="T36" s="12"/>
      <c r="U36" s="12"/>
      <c r="V36" s="12"/>
      <c r="W36" s="12"/>
      <c r="X36" s="12"/>
    </row>
    <row r="37">
      <c r="A37" s="12"/>
      <c r="B37" s="48">
        <v>0.9007</v>
      </c>
      <c r="C37" s="49">
        <f t="shared" si="1"/>
        <v>0.3517</v>
      </c>
      <c r="D37" s="27">
        <f t="shared" si="2"/>
        <v>0.12369289</v>
      </c>
      <c r="E37" s="12"/>
      <c r="F37" s="12"/>
      <c r="G37" s="12"/>
      <c r="H37" s="12"/>
      <c r="I37" s="12"/>
      <c r="J37" s="12"/>
      <c r="K37" s="12"/>
      <c r="L37" s="12"/>
      <c r="M37" s="12"/>
      <c r="N37" s="12"/>
      <c r="O37" s="12"/>
      <c r="P37" s="12"/>
      <c r="Q37" s="12"/>
      <c r="R37" s="12"/>
      <c r="S37" s="12"/>
      <c r="T37" s="12"/>
      <c r="U37" s="12"/>
      <c r="V37" s="12"/>
      <c r="W37" s="12"/>
      <c r="X37" s="12"/>
    </row>
    <row r="38">
      <c r="A38" s="12"/>
      <c r="B38" s="48">
        <v>0.9532</v>
      </c>
      <c r="C38" s="35">
        <f t="shared" si="1"/>
        <v>0.4042</v>
      </c>
      <c r="D38" s="27">
        <f t="shared" si="2"/>
        <v>0.16337764</v>
      </c>
      <c r="E38" s="12"/>
      <c r="F38" s="12"/>
      <c r="G38" s="12"/>
      <c r="H38" s="12"/>
      <c r="I38" s="12"/>
      <c r="J38" s="12"/>
      <c r="K38" s="12"/>
      <c r="L38" s="12"/>
      <c r="M38" s="12"/>
      <c r="N38" s="12"/>
      <c r="O38" s="12"/>
      <c r="P38" s="12"/>
      <c r="Q38" s="12"/>
      <c r="R38" s="12"/>
      <c r="S38" s="12"/>
      <c r="T38" s="12"/>
      <c r="U38" s="12"/>
      <c r="V38" s="12"/>
      <c r="W38" s="12"/>
      <c r="X38" s="12"/>
    </row>
    <row r="39">
      <c r="A39" s="12"/>
      <c r="B39" s="48">
        <v>0.7483</v>
      </c>
      <c r="C39" s="49">
        <f t="shared" si="1"/>
        <v>0.1993</v>
      </c>
      <c r="D39" s="27">
        <f t="shared" si="2"/>
        <v>0.03972049</v>
      </c>
      <c r="E39" s="12"/>
      <c r="F39" s="12"/>
      <c r="G39" s="12"/>
      <c r="H39" s="12"/>
      <c r="I39" s="12"/>
      <c r="J39" s="12"/>
      <c r="K39" s="12"/>
      <c r="L39" s="12"/>
      <c r="M39" s="12"/>
      <c r="N39" s="12"/>
      <c r="O39" s="12"/>
      <c r="P39" s="12"/>
      <c r="Q39" s="12"/>
      <c r="R39" s="12"/>
      <c r="S39" s="12"/>
      <c r="T39" s="12"/>
      <c r="U39" s="12"/>
      <c r="V39" s="12"/>
      <c r="W39" s="12"/>
      <c r="X39" s="12"/>
    </row>
    <row r="40">
      <c r="A40" s="12"/>
      <c r="B40" s="48">
        <v>0.8394</v>
      </c>
      <c r="C40" s="35">
        <f t="shared" si="1"/>
        <v>0.2904</v>
      </c>
      <c r="D40" s="27">
        <f t="shared" si="2"/>
        <v>0.08433216</v>
      </c>
      <c r="E40" s="12"/>
      <c r="F40" s="12"/>
      <c r="G40" s="12"/>
      <c r="H40" s="12"/>
      <c r="I40" s="12"/>
      <c r="J40" s="12"/>
      <c r="K40" s="12"/>
      <c r="L40" s="12"/>
      <c r="M40" s="12"/>
      <c r="N40" s="12"/>
      <c r="O40" s="12"/>
      <c r="P40" s="12"/>
      <c r="Q40" s="12"/>
      <c r="R40" s="12"/>
      <c r="S40" s="12"/>
      <c r="T40" s="12"/>
      <c r="U40" s="12"/>
      <c r="V40" s="12"/>
      <c r="W40" s="12"/>
      <c r="X40" s="12"/>
    </row>
    <row r="41">
      <c r="A41" s="12"/>
      <c r="B41" s="48">
        <v>0.6896</v>
      </c>
      <c r="C41" s="49">
        <f t="shared" si="1"/>
        <v>0.1406</v>
      </c>
      <c r="D41" s="27">
        <f t="shared" si="2"/>
        <v>0.01976836</v>
      </c>
      <c r="E41" s="12"/>
      <c r="F41" s="12"/>
      <c r="G41" s="12"/>
      <c r="H41" s="12"/>
      <c r="I41" s="12"/>
      <c r="J41" s="12"/>
      <c r="K41" s="12"/>
      <c r="L41" s="12"/>
      <c r="M41" s="12"/>
      <c r="N41" s="12"/>
      <c r="O41" s="12"/>
      <c r="P41" s="12"/>
      <c r="Q41" s="12"/>
      <c r="R41" s="12"/>
      <c r="S41" s="12"/>
      <c r="T41" s="12"/>
      <c r="U41" s="12"/>
      <c r="V41" s="12"/>
      <c r="W41" s="12"/>
      <c r="X41" s="12"/>
    </row>
    <row r="42">
      <c r="A42" s="12"/>
      <c r="B42" s="48">
        <v>0.7143</v>
      </c>
      <c r="C42" s="35">
        <f t="shared" si="1"/>
        <v>0.1653</v>
      </c>
      <c r="D42" s="27">
        <f t="shared" si="2"/>
        <v>0.02732409</v>
      </c>
      <c r="E42" s="12"/>
      <c r="F42" s="12"/>
      <c r="G42" s="12"/>
      <c r="H42" s="12"/>
      <c r="I42" s="12"/>
      <c r="J42" s="12"/>
      <c r="K42" s="12"/>
      <c r="L42" s="12"/>
      <c r="M42" s="12"/>
      <c r="N42" s="12"/>
      <c r="O42" s="12"/>
      <c r="P42" s="12"/>
      <c r="Q42" s="12"/>
      <c r="R42" s="12"/>
      <c r="S42" s="12"/>
      <c r="T42" s="12"/>
      <c r="U42" s="12"/>
      <c r="V42" s="12"/>
      <c r="W42" s="12"/>
      <c r="X42" s="12"/>
    </row>
    <row r="43">
      <c r="A43" s="12"/>
      <c r="B43" s="48">
        <v>0.0293</v>
      </c>
      <c r="C43" s="49">
        <f t="shared" si="1"/>
        <v>-0.5197</v>
      </c>
      <c r="D43" s="27">
        <f t="shared" si="2"/>
        <v>0.27008809</v>
      </c>
      <c r="E43" s="12"/>
      <c r="F43" s="12"/>
      <c r="G43" s="12"/>
      <c r="H43" s="12"/>
      <c r="I43" s="12"/>
      <c r="J43" s="12"/>
      <c r="K43" s="12"/>
      <c r="L43" s="12"/>
      <c r="M43" s="12"/>
      <c r="N43" s="12"/>
      <c r="O43" s="12"/>
      <c r="P43" s="12"/>
      <c r="Q43" s="12"/>
      <c r="R43" s="12"/>
      <c r="S43" s="12"/>
      <c r="T43" s="12"/>
      <c r="U43" s="12"/>
      <c r="V43" s="12"/>
      <c r="W43" s="12"/>
      <c r="X43" s="12"/>
    </row>
    <row r="44">
      <c r="A44" s="12"/>
      <c r="B44" s="48">
        <v>0.5599</v>
      </c>
      <c r="C44" s="35">
        <f t="shared" si="1"/>
        <v>0.0109</v>
      </c>
      <c r="D44" s="27">
        <f t="shared" si="2"/>
        <v>0.00011881</v>
      </c>
      <c r="E44" s="12"/>
      <c r="F44" s="12"/>
      <c r="G44" s="12"/>
      <c r="H44" s="12"/>
      <c r="I44" s="12"/>
      <c r="J44" s="12"/>
      <c r="K44" s="12"/>
      <c r="L44" s="12"/>
      <c r="M44" s="12"/>
      <c r="N44" s="12"/>
      <c r="O44" s="12"/>
      <c r="P44" s="12"/>
      <c r="Q44" s="12"/>
      <c r="R44" s="12"/>
      <c r="S44" s="12"/>
      <c r="T44" s="12"/>
      <c r="U44" s="12"/>
      <c r="V44" s="12"/>
      <c r="W44" s="12"/>
      <c r="X44" s="12"/>
    </row>
    <row r="45">
      <c r="A45" s="12"/>
      <c r="B45" s="48">
        <v>0.809</v>
      </c>
      <c r="C45" s="49">
        <f t="shared" si="1"/>
        <v>0.26</v>
      </c>
      <c r="D45" s="27">
        <f t="shared" si="2"/>
        <v>0.0676</v>
      </c>
      <c r="E45" s="12"/>
      <c r="F45" s="12"/>
      <c r="G45" s="12"/>
      <c r="H45" s="12"/>
      <c r="I45" s="12"/>
      <c r="J45" s="12"/>
      <c r="K45" s="12"/>
      <c r="L45" s="12"/>
      <c r="M45" s="12"/>
      <c r="N45" s="12"/>
      <c r="O45" s="12"/>
      <c r="P45" s="12"/>
      <c r="Q45" s="12"/>
      <c r="R45" s="12"/>
      <c r="S45" s="12"/>
      <c r="T45" s="12"/>
      <c r="U45" s="12"/>
      <c r="V45" s="12"/>
      <c r="W45" s="12"/>
      <c r="X45" s="12"/>
    </row>
    <row r="46">
      <c r="A46" s="12"/>
      <c r="B46" s="48">
        <v>0.0711</v>
      </c>
      <c r="C46" s="35">
        <f t="shared" si="1"/>
        <v>-0.4779</v>
      </c>
      <c r="D46" s="27">
        <f t="shared" si="2"/>
        <v>0.22838841</v>
      </c>
      <c r="E46" s="12"/>
      <c r="F46" s="12"/>
      <c r="G46" s="12"/>
      <c r="H46" s="12"/>
      <c r="I46" s="12"/>
      <c r="J46" s="12"/>
      <c r="K46" s="12"/>
      <c r="L46" s="12"/>
      <c r="M46" s="12"/>
      <c r="N46" s="12"/>
      <c r="O46" s="12"/>
      <c r="P46" s="12"/>
      <c r="Q46" s="12"/>
      <c r="R46" s="12"/>
      <c r="S46" s="12"/>
      <c r="T46" s="12"/>
      <c r="U46" s="12"/>
      <c r="V46" s="12"/>
      <c r="W46" s="12"/>
      <c r="X46" s="12"/>
    </row>
    <row r="47">
      <c r="A47" s="12"/>
      <c r="B47" s="48">
        <v>0.7853</v>
      </c>
      <c r="C47" s="49">
        <f t="shared" si="1"/>
        <v>0.2363</v>
      </c>
      <c r="D47" s="27">
        <f t="shared" si="2"/>
        <v>0.05583769</v>
      </c>
      <c r="E47" s="12"/>
      <c r="F47" s="12"/>
      <c r="G47" s="12"/>
      <c r="H47" s="12"/>
      <c r="I47" s="12"/>
      <c r="J47" s="12"/>
      <c r="K47" s="12"/>
      <c r="L47" s="12"/>
      <c r="M47" s="12"/>
      <c r="N47" s="12"/>
      <c r="O47" s="12"/>
      <c r="P47" s="12"/>
      <c r="Q47" s="12"/>
      <c r="R47" s="12"/>
      <c r="S47" s="12"/>
      <c r="T47" s="12"/>
      <c r="U47" s="12"/>
      <c r="V47" s="12"/>
      <c r="W47" s="12"/>
      <c r="X47" s="12"/>
    </row>
    <row r="48">
      <c r="A48" s="12"/>
      <c r="B48" s="48">
        <v>0.8093</v>
      </c>
      <c r="C48" s="35">
        <f t="shared" si="1"/>
        <v>0.2603</v>
      </c>
      <c r="D48" s="27">
        <f t="shared" si="2"/>
        <v>0.06775609</v>
      </c>
      <c r="E48" s="12"/>
      <c r="F48" s="12"/>
      <c r="G48" s="12"/>
      <c r="H48" s="12"/>
      <c r="I48" s="12"/>
      <c r="J48" s="12"/>
      <c r="K48" s="12"/>
      <c r="L48" s="12"/>
      <c r="M48" s="12"/>
      <c r="N48" s="12"/>
      <c r="O48" s="12"/>
      <c r="P48" s="12"/>
      <c r="Q48" s="12"/>
      <c r="R48" s="12"/>
      <c r="S48" s="12"/>
      <c r="T48" s="12"/>
      <c r="U48" s="12"/>
      <c r="V48" s="12"/>
      <c r="W48" s="12"/>
      <c r="X48" s="12"/>
    </row>
    <row r="49">
      <c r="A49" s="12"/>
      <c r="B49" s="48">
        <v>0.0871</v>
      </c>
      <c r="C49" s="49">
        <f t="shared" si="1"/>
        <v>-0.4619</v>
      </c>
      <c r="D49" s="27">
        <f t="shared" si="2"/>
        <v>0.21335161</v>
      </c>
      <c r="E49" s="12"/>
      <c r="F49" s="12"/>
      <c r="G49" s="12"/>
      <c r="H49" s="12"/>
      <c r="I49" s="12"/>
      <c r="J49" s="12"/>
      <c r="K49" s="12"/>
      <c r="L49" s="12"/>
      <c r="M49" s="12"/>
      <c r="N49" s="12"/>
      <c r="O49" s="12"/>
      <c r="P49" s="12"/>
      <c r="Q49" s="12"/>
      <c r="R49" s="12"/>
      <c r="S49" s="12"/>
      <c r="T49" s="12"/>
      <c r="U49" s="12"/>
      <c r="V49" s="12"/>
      <c r="W49" s="12"/>
      <c r="X49" s="12"/>
    </row>
    <row r="50">
      <c r="A50" s="12"/>
      <c r="B50" s="48">
        <v>0.6372</v>
      </c>
      <c r="C50" s="35">
        <f t="shared" si="1"/>
        <v>0.0882</v>
      </c>
      <c r="D50" s="27">
        <f t="shared" si="2"/>
        <v>0.00777924</v>
      </c>
      <c r="E50" s="12"/>
      <c r="F50" s="12"/>
      <c r="G50" s="12"/>
      <c r="H50" s="12"/>
      <c r="I50" s="12"/>
      <c r="J50" s="12"/>
      <c r="K50" s="12"/>
      <c r="L50" s="12"/>
      <c r="M50" s="12"/>
      <c r="N50" s="12"/>
      <c r="O50" s="12"/>
      <c r="P50" s="12"/>
      <c r="Q50" s="12"/>
      <c r="R50" s="12"/>
      <c r="S50" s="12"/>
      <c r="T50" s="12"/>
      <c r="U50" s="12"/>
      <c r="V50" s="12"/>
      <c r="W50" s="12"/>
      <c r="X50" s="12"/>
    </row>
    <row r="51">
      <c r="A51" s="12"/>
      <c r="B51" s="48">
        <v>0.9245</v>
      </c>
      <c r="C51" s="49">
        <f t="shared" si="1"/>
        <v>0.3755</v>
      </c>
      <c r="D51" s="27">
        <f t="shared" si="2"/>
        <v>0.14100025</v>
      </c>
      <c r="E51" s="12"/>
      <c r="F51" s="12"/>
      <c r="G51" s="12"/>
      <c r="H51" s="12"/>
      <c r="I51" s="12"/>
      <c r="J51" s="12"/>
      <c r="K51" s="12"/>
      <c r="L51" s="12"/>
      <c r="M51" s="12"/>
      <c r="N51" s="12"/>
      <c r="O51" s="12"/>
      <c r="P51" s="12"/>
      <c r="Q51" s="12"/>
      <c r="R51" s="12"/>
      <c r="S51" s="12"/>
      <c r="T51" s="12"/>
      <c r="U51" s="12"/>
      <c r="V51" s="12"/>
      <c r="W51" s="12"/>
      <c r="X51" s="12"/>
    </row>
    <row r="52">
      <c r="A52" s="12"/>
      <c r="B52" s="48">
        <v>0.2203</v>
      </c>
      <c r="C52" s="35">
        <f t="shared" si="1"/>
        <v>-0.3287</v>
      </c>
      <c r="D52" s="27">
        <f t="shared" si="2"/>
        <v>0.10804369</v>
      </c>
      <c r="E52" s="12"/>
      <c r="F52" s="12"/>
      <c r="G52" s="12"/>
      <c r="H52" s="12"/>
      <c r="I52" s="12"/>
      <c r="J52" s="12"/>
      <c r="K52" s="12"/>
      <c r="L52" s="12"/>
      <c r="M52" s="12"/>
      <c r="N52" s="12"/>
      <c r="O52" s="12"/>
      <c r="P52" s="12"/>
      <c r="Q52" s="12"/>
      <c r="R52" s="12"/>
      <c r="S52" s="12"/>
      <c r="T52" s="12"/>
      <c r="U52" s="12"/>
      <c r="V52" s="12"/>
      <c r="W52" s="12"/>
      <c r="X52" s="12"/>
    </row>
    <row r="53">
      <c r="A53" s="12"/>
      <c r="B53" s="48">
        <v>0.7287</v>
      </c>
      <c r="C53" s="49">
        <f t="shared" si="1"/>
        <v>0.1797</v>
      </c>
      <c r="D53" s="27">
        <f t="shared" si="2"/>
        <v>0.03229209</v>
      </c>
      <c r="E53" s="12"/>
      <c r="F53" s="12"/>
      <c r="G53" s="12"/>
      <c r="H53" s="12"/>
      <c r="I53" s="12"/>
      <c r="J53" s="12"/>
      <c r="K53" s="12"/>
      <c r="L53" s="12"/>
      <c r="M53" s="12"/>
      <c r="N53" s="12"/>
      <c r="O53" s="12"/>
      <c r="P53" s="12"/>
      <c r="Q53" s="12"/>
      <c r="R53" s="12"/>
      <c r="S53" s="12"/>
      <c r="T53" s="12"/>
      <c r="U53" s="12"/>
      <c r="V53" s="12"/>
      <c r="W53" s="12"/>
      <c r="X53" s="12"/>
    </row>
    <row r="54">
      <c r="A54" s="12"/>
      <c r="B54" s="48">
        <v>0.7959</v>
      </c>
      <c r="C54" s="35">
        <f t="shared" si="1"/>
        <v>0.2469</v>
      </c>
      <c r="D54" s="27">
        <f t="shared" si="2"/>
        <v>0.06095961</v>
      </c>
      <c r="E54" s="12"/>
      <c r="F54" s="12"/>
      <c r="G54" s="12"/>
      <c r="H54" s="12"/>
      <c r="I54" s="12"/>
      <c r="J54" s="12"/>
      <c r="K54" s="12"/>
      <c r="L54" s="12"/>
      <c r="M54" s="12"/>
      <c r="N54" s="12"/>
      <c r="O54" s="12"/>
      <c r="P54" s="12"/>
      <c r="Q54" s="12"/>
      <c r="R54" s="12"/>
      <c r="S54" s="12"/>
      <c r="T54" s="12"/>
      <c r="U54" s="12"/>
      <c r="V54" s="12"/>
      <c r="W54" s="12"/>
      <c r="X54" s="12"/>
    </row>
    <row r="55">
      <c r="A55" s="12"/>
      <c r="B55" s="48">
        <v>0.3737</v>
      </c>
      <c r="C55" s="49">
        <f t="shared" si="1"/>
        <v>-0.1753</v>
      </c>
      <c r="D55" s="27">
        <f t="shared" si="2"/>
        <v>0.03073009</v>
      </c>
      <c r="E55" s="12"/>
      <c r="F55" s="12"/>
      <c r="G55" s="12"/>
      <c r="H55" s="12"/>
      <c r="I55" s="12"/>
      <c r="J55" s="12"/>
      <c r="K55" s="12"/>
      <c r="L55" s="12"/>
      <c r="M55" s="12"/>
      <c r="N55" s="12"/>
      <c r="O55" s="12"/>
      <c r="P55" s="12"/>
      <c r="Q55" s="12"/>
      <c r="R55" s="12"/>
      <c r="S55" s="12"/>
      <c r="T55" s="12"/>
      <c r="U55" s="12"/>
      <c r="V55" s="12"/>
      <c r="W55" s="12"/>
      <c r="X55" s="12"/>
    </row>
    <row r="56">
      <c r="A56" s="12"/>
      <c r="B56" s="48">
        <v>0.8957</v>
      </c>
      <c r="C56" s="35">
        <f t="shared" si="1"/>
        <v>0.3467</v>
      </c>
      <c r="D56" s="27">
        <f t="shared" si="2"/>
        <v>0.12020089</v>
      </c>
      <c r="E56" s="12"/>
      <c r="F56" s="12"/>
      <c r="G56" s="12"/>
      <c r="H56" s="12"/>
      <c r="I56" s="12"/>
      <c r="J56" s="12"/>
      <c r="K56" s="12"/>
      <c r="L56" s="12"/>
      <c r="M56" s="12"/>
      <c r="N56" s="12"/>
      <c r="O56" s="12"/>
      <c r="P56" s="12"/>
      <c r="Q56" s="12"/>
      <c r="R56" s="12"/>
      <c r="S56" s="12"/>
      <c r="T56" s="12"/>
      <c r="U56" s="12"/>
      <c r="V56" s="12"/>
      <c r="W56" s="12"/>
      <c r="X56" s="12"/>
    </row>
    <row r="57">
      <c r="A57" s="12"/>
      <c r="B57" s="48">
        <v>0.687</v>
      </c>
      <c r="C57" s="49">
        <f t="shared" si="1"/>
        <v>0.138</v>
      </c>
      <c r="D57" s="27">
        <f t="shared" si="2"/>
        <v>0.019044</v>
      </c>
      <c r="E57" s="12"/>
      <c r="F57" s="12"/>
      <c r="G57" s="12"/>
      <c r="H57" s="12"/>
      <c r="I57" s="12"/>
      <c r="J57" s="12"/>
      <c r="K57" s="12"/>
      <c r="L57" s="12"/>
      <c r="M57" s="12"/>
      <c r="N57" s="12"/>
      <c r="O57" s="12"/>
      <c r="P57" s="12"/>
      <c r="Q57" s="12"/>
      <c r="R57" s="12"/>
      <c r="S57" s="12"/>
      <c r="T57" s="12"/>
      <c r="U57" s="12"/>
      <c r="V57" s="12"/>
      <c r="W57" s="12"/>
      <c r="X57" s="12"/>
    </row>
    <row r="58">
      <c r="A58" s="12"/>
      <c r="B58" s="48">
        <v>0.5758</v>
      </c>
      <c r="C58" s="35">
        <f t="shared" si="1"/>
        <v>0.0268</v>
      </c>
      <c r="D58" s="27">
        <f t="shared" si="2"/>
        <v>0.00071824</v>
      </c>
      <c r="E58" s="12"/>
      <c r="F58" s="12"/>
      <c r="G58" s="12"/>
      <c r="H58" s="12"/>
      <c r="I58" s="12"/>
      <c r="J58" s="12"/>
      <c r="K58" s="12"/>
      <c r="L58" s="12"/>
      <c r="M58" s="12"/>
      <c r="N58" s="12"/>
      <c r="O58" s="12"/>
      <c r="P58" s="12"/>
      <c r="Q58" s="12"/>
      <c r="R58" s="12"/>
      <c r="S58" s="12"/>
      <c r="T58" s="12"/>
      <c r="U58" s="12"/>
      <c r="V58" s="12"/>
      <c r="W58" s="12"/>
      <c r="X58" s="12"/>
    </row>
    <row r="59">
      <c r="A59" s="12"/>
      <c r="B59" s="48">
        <v>0.6555</v>
      </c>
      <c r="C59" s="49">
        <f t="shared" si="1"/>
        <v>0.1065</v>
      </c>
      <c r="D59" s="27">
        <f t="shared" si="2"/>
        <v>0.01134225</v>
      </c>
      <c r="E59" s="12"/>
      <c r="F59" s="12"/>
      <c r="G59" s="12"/>
      <c r="H59" s="12"/>
      <c r="I59" s="12"/>
      <c r="J59" s="12"/>
      <c r="K59" s="12"/>
      <c r="L59" s="12"/>
      <c r="M59" s="12"/>
      <c r="N59" s="12"/>
      <c r="O59" s="12"/>
      <c r="P59" s="12"/>
      <c r="Q59" s="12"/>
      <c r="R59" s="12"/>
      <c r="S59" s="12"/>
      <c r="T59" s="12"/>
      <c r="U59" s="12"/>
      <c r="V59" s="12"/>
      <c r="W59" s="12"/>
      <c r="X59" s="12"/>
    </row>
    <row r="60">
      <c r="A60" s="12"/>
      <c r="B60" s="48">
        <v>0.8988</v>
      </c>
      <c r="C60" s="35">
        <f t="shared" si="1"/>
        <v>0.3498</v>
      </c>
      <c r="D60" s="27">
        <f t="shared" si="2"/>
        <v>0.12236004</v>
      </c>
      <c r="E60" s="12"/>
      <c r="F60" s="12"/>
      <c r="G60" s="12"/>
      <c r="H60" s="12"/>
      <c r="I60" s="12"/>
      <c r="J60" s="12"/>
      <c r="K60" s="12"/>
      <c r="L60" s="12"/>
      <c r="M60" s="12"/>
      <c r="N60" s="12"/>
      <c r="O60" s="12"/>
      <c r="P60" s="12"/>
      <c r="Q60" s="12"/>
      <c r="R60" s="12"/>
      <c r="S60" s="12"/>
      <c r="T60" s="12"/>
      <c r="U60" s="12"/>
      <c r="V60" s="12"/>
      <c r="W60" s="12"/>
      <c r="X60" s="12"/>
    </row>
    <row r="61">
      <c r="A61" s="12"/>
      <c r="B61" s="48">
        <v>0.8521</v>
      </c>
      <c r="C61" s="49">
        <f t="shared" si="1"/>
        <v>0.3031</v>
      </c>
      <c r="D61" s="27">
        <f t="shared" si="2"/>
        <v>0.09186961</v>
      </c>
      <c r="E61" s="12"/>
      <c r="F61" s="12"/>
      <c r="G61" s="12"/>
      <c r="H61" s="12"/>
      <c r="I61" s="12"/>
      <c r="J61" s="12"/>
      <c r="K61" s="12"/>
      <c r="L61" s="12"/>
      <c r="M61" s="12"/>
      <c r="N61" s="12"/>
      <c r="O61" s="12"/>
      <c r="P61" s="12"/>
      <c r="Q61" s="12"/>
      <c r="R61" s="12"/>
      <c r="S61" s="12"/>
      <c r="T61" s="12"/>
      <c r="U61" s="12"/>
      <c r="V61" s="12"/>
      <c r="W61" s="12"/>
      <c r="X61" s="12"/>
    </row>
    <row r="62">
      <c r="A62" s="12"/>
      <c r="B62" s="48">
        <v>0.3658</v>
      </c>
      <c r="C62" s="35">
        <f t="shared" si="1"/>
        <v>-0.1832</v>
      </c>
      <c r="D62" s="27">
        <f t="shared" si="2"/>
        <v>0.03356224</v>
      </c>
      <c r="E62" s="12"/>
      <c r="F62" s="12"/>
      <c r="G62" s="12"/>
      <c r="H62" s="12"/>
      <c r="I62" s="12"/>
      <c r="J62" s="12"/>
      <c r="K62" s="12"/>
      <c r="L62" s="12"/>
      <c r="M62" s="12"/>
      <c r="N62" s="12"/>
      <c r="O62" s="12"/>
      <c r="P62" s="12"/>
      <c r="Q62" s="12"/>
      <c r="R62" s="12"/>
      <c r="S62" s="12"/>
      <c r="T62" s="12"/>
      <c r="U62" s="12"/>
      <c r="V62" s="12"/>
      <c r="W62" s="12"/>
      <c r="X62" s="12"/>
    </row>
    <row r="63">
      <c r="A63" s="12"/>
      <c r="B63" s="48">
        <v>0.4751</v>
      </c>
      <c r="C63" s="49">
        <f t="shared" si="1"/>
        <v>-0.0739</v>
      </c>
      <c r="D63" s="27">
        <f t="shared" si="2"/>
        <v>0.00546121</v>
      </c>
      <c r="E63" s="12"/>
      <c r="F63" s="12"/>
      <c r="G63" s="12"/>
      <c r="H63" s="12"/>
      <c r="I63" s="12"/>
      <c r="J63" s="12"/>
      <c r="K63" s="12"/>
      <c r="L63" s="12"/>
      <c r="M63" s="12"/>
      <c r="N63" s="12"/>
      <c r="O63" s="12"/>
      <c r="P63" s="12"/>
      <c r="Q63" s="12"/>
      <c r="R63" s="12"/>
      <c r="S63" s="12"/>
      <c r="T63" s="12"/>
      <c r="U63" s="12"/>
      <c r="V63" s="12"/>
      <c r="W63" s="12"/>
      <c r="X63" s="12"/>
    </row>
    <row r="64">
      <c r="A64" s="12"/>
      <c r="B64" s="48">
        <v>0.2943</v>
      </c>
      <c r="C64" s="35">
        <f t="shared" si="1"/>
        <v>-0.2547</v>
      </c>
      <c r="D64" s="27">
        <f t="shared" si="2"/>
        <v>0.06487209</v>
      </c>
      <c r="E64" s="12"/>
      <c r="F64" s="12"/>
      <c r="G64" s="12"/>
      <c r="H64" s="12"/>
      <c r="I64" s="12"/>
      <c r="J64" s="12"/>
      <c r="K64" s="12"/>
      <c r="L64" s="12"/>
      <c r="M64" s="12"/>
      <c r="N64" s="12"/>
      <c r="O64" s="12"/>
      <c r="P64" s="12"/>
      <c r="Q64" s="12"/>
      <c r="R64" s="12"/>
      <c r="S64" s="12"/>
      <c r="T64" s="12"/>
      <c r="U64" s="12"/>
      <c r="V64" s="12"/>
      <c r="W64" s="12"/>
      <c r="X64" s="12"/>
    </row>
    <row r="65">
      <c r="A65" s="12"/>
      <c r="B65" s="48">
        <v>0.6685</v>
      </c>
      <c r="C65" s="49">
        <f t="shared" si="1"/>
        <v>0.1195</v>
      </c>
      <c r="D65" s="27">
        <f t="shared" si="2"/>
        <v>0.01428025</v>
      </c>
      <c r="E65" s="12"/>
      <c r="F65" s="12"/>
      <c r="G65" s="12"/>
      <c r="H65" s="12"/>
      <c r="I65" s="12"/>
      <c r="J65" s="12"/>
      <c r="K65" s="12"/>
      <c r="L65" s="12"/>
      <c r="M65" s="12"/>
      <c r="N65" s="12"/>
      <c r="O65" s="12"/>
      <c r="P65" s="12"/>
      <c r="Q65" s="12"/>
      <c r="R65" s="12"/>
      <c r="S65" s="12"/>
      <c r="T65" s="12"/>
      <c r="U65" s="12"/>
      <c r="V65" s="12"/>
      <c r="W65" s="12"/>
      <c r="X65" s="12"/>
    </row>
    <row r="66">
      <c r="A66" s="12"/>
      <c r="B66" s="48">
        <v>0.5909</v>
      </c>
      <c r="C66" s="35">
        <f t="shared" si="1"/>
        <v>0.0419</v>
      </c>
      <c r="D66" s="27">
        <f t="shared" si="2"/>
        <v>0.00175561</v>
      </c>
      <c r="E66" s="12"/>
      <c r="F66" s="12"/>
      <c r="G66" s="12"/>
      <c r="H66" s="12"/>
      <c r="I66" s="12"/>
      <c r="J66" s="12"/>
      <c r="K66" s="12"/>
      <c r="L66" s="12"/>
      <c r="M66" s="12"/>
      <c r="N66" s="12"/>
      <c r="O66" s="12"/>
      <c r="P66" s="12"/>
      <c r="Q66" s="12"/>
      <c r="R66" s="12"/>
      <c r="S66" s="12"/>
      <c r="T66" s="12"/>
      <c r="U66" s="12"/>
      <c r="V66" s="12"/>
      <c r="W66" s="12"/>
      <c r="X66" s="12"/>
    </row>
    <row r="67">
      <c r="A67" s="12"/>
      <c r="B67" s="48">
        <v>0.4595</v>
      </c>
      <c r="C67" s="49">
        <f t="shared" si="1"/>
        <v>-0.0895</v>
      </c>
      <c r="D67" s="27">
        <f t="shared" si="2"/>
        <v>0.00801025</v>
      </c>
      <c r="E67" s="12"/>
      <c r="F67" s="12"/>
      <c r="G67" s="12"/>
      <c r="H67" s="12"/>
      <c r="I67" s="12"/>
      <c r="J67" s="12"/>
      <c r="K67" s="12"/>
      <c r="L67" s="12"/>
      <c r="M67" s="12"/>
      <c r="N67" s="12"/>
      <c r="O67" s="12"/>
      <c r="P67" s="12"/>
      <c r="Q67" s="12"/>
      <c r="R67" s="12"/>
      <c r="S67" s="12"/>
      <c r="T67" s="12"/>
      <c r="U67" s="12"/>
      <c r="V67" s="12"/>
      <c r="W67" s="12"/>
      <c r="X67" s="12"/>
    </row>
    <row r="68">
      <c r="A68" s="12"/>
      <c r="B68" s="48">
        <v>0.4637</v>
      </c>
      <c r="C68" s="35">
        <f t="shared" si="1"/>
        <v>-0.0853</v>
      </c>
      <c r="D68" s="27">
        <f t="shared" si="2"/>
        <v>0.00727609</v>
      </c>
      <c r="E68" s="12"/>
      <c r="F68" s="12"/>
      <c r="G68" s="12"/>
      <c r="H68" s="12"/>
      <c r="I68" s="12"/>
      <c r="J68" s="12"/>
      <c r="K68" s="12"/>
      <c r="L68" s="12"/>
      <c r="M68" s="12"/>
      <c r="N68" s="12"/>
      <c r="O68" s="12"/>
      <c r="P68" s="12"/>
      <c r="Q68" s="12"/>
      <c r="R68" s="12"/>
      <c r="S68" s="12"/>
      <c r="T68" s="12"/>
      <c r="U68" s="12"/>
      <c r="V68" s="12"/>
      <c r="W68" s="12"/>
      <c r="X68" s="12"/>
    </row>
    <row r="69">
      <c r="A69" s="12"/>
      <c r="B69" s="48">
        <v>0.6873</v>
      </c>
      <c r="C69" s="49">
        <f t="shared" si="1"/>
        <v>0.1383</v>
      </c>
      <c r="D69" s="27">
        <f t="shared" si="2"/>
        <v>0.01912689</v>
      </c>
      <c r="E69" s="12"/>
      <c r="F69" s="12"/>
      <c r="G69" s="12"/>
      <c r="H69" s="12"/>
      <c r="I69" s="12"/>
      <c r="J69" s="12"/>
      <c r="K69" s="12"/>
      <c r="L69" s="12"/>
      <c r="M69" s="12"/>
      <c r="N69" s="12"/>
      <c r="O69" s="12"/>
      <c r="P69" s="12"/>
      <c r="Q69" s="12"/>
      <c r="R69" s="12"/>
      <c r="S69" s="12"/>
      <c r="T69" s="12"/>
      <c r="U69" s="12"/>
      <c r="V69" s="12"/>
      <c r="W69" s="12"/>
      <c r="X69" s="12"/>
    </row>
    <row r="70">
      <c r="A70" s="12"/>
      <c r="B70" s="48">
        <v>0.5918</v>
      </c>
      <c r="C70" s="35">
        <f t="shared" si="1"/>
        <v>0.0428</v>
      </c>
      <c r="D70" s="27">
        <f t="shared" si="2"/>
        <v>0.00183184</v>
      </c>
      <c r="E70" s="12"/>
      <c r="F70" s="12"/>
      <c r="G70" s="12"/>
      <c r="H70" s="12"/>
      <c r="I70" s="12"/>
      <c r="J70" s="12"/>
      <c r="K70" s="12"/>
      <c r="L70" s="12"/>
      <c r="M70" s="12"/>
      <c r="N70" s="12"/>
      <c r="O70" s="12"/>
      <c r="P70" s="12"/>
      <c r="Q70" s="12"/>
      <c r="R70" s="12"/>
      <c r="S70" s="12"/>
      <c r="T70" s="12"/>
      <c r="U70" s="12"/>
      <c r="V70" s="12"/>
      <c r="W70" s="12"/>
      <c r="X70" s="12"/>
    </row>
    <row r="71">
      <c r="A71" s="12"/>
      <c r="B71" s="48">
        <v>0.5074</v>
      </c>
      <c r="C71" s="49">
        <f t="shared" si="1"/>
        <v>-0.0416</v>
      </c>
      <c r="D71" s="27">
        <f t="shared" si="2"/>
        <v>0.00173056</v>
      </c>
      <c r="E71" s="12"/>
      <c r="F71" s="12"/>
      <c r="G71" s="12"/>
      <c r="H71" s="12"/>
      <c r="I71" s="12"/>
      <c r="J71" s="12"/>
      <c r="K71" s="12"/>
      <c r="L71" s="12"/>
      <c r="M71" s="12"/>
      <c r="N71" s="12"/>
      <c r="O71" s="12"/>
      <c r="P71" s="12"/>
      <c r="Q71" s="12"/>
      <c r="R71" s="12"/>
      <c r="S71" s="12"/>
      <c r="T71" s="12"/>
      <c r="U71" s="12"/>
      <c r="V71" s="12"/>
      <c r="W71" s="12"/>
      <c r="X71" s="12"/>
    </row>
    <row r="72">
      <c r="A72" s="12"/>
      <c r="B72" s="48">
        <v>0.0139</v>
      </c>
      <c r="C72" s="35">
        <f t="shared" si="1"/>
        <v>-0.5351</v>
      </c>
      <c r="D72" s="27">
        <f t="shared" si="2"/>
        <v>0.28633201</v>
      </c>
      <c r="E72" s="12"/>
      <c r="F72" s="12"/>
      <c r="G72" s="12"/>
      <c r="H72" s="12"/>
      <c r="I72" s="12"/>
      <c r="J72" s="12"/>
      <c r="K72" s="12"/>
      <c r="L72" s="12"/>
      <c r="M72" s="12"/>
      <c r="N72" s="12"/>
      <c r="O72" s="12"/>
      <c r="P72" s="12"/>
      <c r="Q72" s="12"/>
      <c r="R72" s="12"/>
      <c r="S72" s="12"/>
      <c r="T72" s="12"/>
      <c r="U72" s="12"/>
      <c r="V72" s="12"/>
      <c r="W72" s="12"/>
      <c r="X72" s="12"/>
    </row>
    <row r="73">
      <c r="A73" s="12"/>
      <c r="B73" s="48">
        <v>0.74</v>
      </c>
      <c r="C73" s="49">
        <f t="shared" si="1"/>
        <v>0.191</v>
      </c>
      <c r="D73" s="27">
        <f t="shared" si="2"/>
        <v>0.036481</v>
      </c>
      <c r="E73" s="12"/>
      <c r="F73" s="12"/>
      <c r="G73" s="12"/>
      <c r="H73" s="12"/>
      <c r="I73" s="12"/>
      <c r="J73" s="12"/>
      <c r="K73" s="12"/>
      <c r="L73" s="12"/>
      <c r="M73" s="12"/>
      <c r="N73" s="12"/>
      <c r="O73" s="12"/>
      <c r="P73" s="12"/>
      <c r="Q73" s="12"/>
      <c r="R73" s="12"/>
      <c r="S73" s="12"/>
      <c r="T73" s="12"/>
      <c r="U73" s="12"/>
      <c r="V73" s="12"/>
      <c r="W73" s="12"/>
      <c r="X73" s="12"/>
    </row>
    <row r="74">
      <c r="A74" s="12"/>
      <c r="B74" s="48">
        <v>0.3976</v>
      </c>
      <c r="C74" s="35">
        <f t="shared" si="1"/>
        <v>-0.1514</v>
      </c>
      <c r="D74" s="27">
        <f t="shared" si="2"/>
        <v>0.02292196</v>
      </c>
      <c r="E74" s="12"/>
      <c r="F74" s="12"/>
      <c r="G74" s="12"/>
      <c r="H74" s="12"/>
      <c r="I74" s="12"/>
      <c r="J74" s="12"/>
      <c r="K74" s="12"/>
      <c r="L74" s="12"/>
      <c r="M74" s="12"/>
      <c r="N74" s="12"/>
      <c r="O74" s="12"/>
      <c r="P74" s="12"/>
      <c r="Q74" s="12"/>
      <c r="R74" s="12"/>
      <c r="S74" s="12"/>
      <c r="T74" s="12"/>
      <c r="U74" s="12"/>
      <c r="V74" s="12"/>
      <c r="W74" s="12"/>
      <c r="X74" s="12"/>
    </row>
    <row r="75">
      <c r="A75" s="12"/>
      <c r="B75" s="48">
        <v>0.1682</v>
      </c>
      <c r="C75" s="49">
        <f t="shared" si="1"/>
        <v>-0.3808</v>
      </c>
      <c r="D75" s="27">
        <f t="shared" si="2"/>
        <v>0.14500864</v>
      </c>
      <c r="E75" s="12"/>
      <c r="F75" s="12"/>
      <c r="G75" s="12"/>
      <c r="H75" s="12"/>
      <c r="I75" s="12"/>
      <c r="J75" s="12"/>
      <c r="K75" s="12"/>
      <c r="L75" s="12"/>
      <c r="M75" s="12"/>
      <c r="N75" s="12"/>
      <c r="O75" s="12"/>
      <c r="P75" s="12"/>
      <c r="Q75" s="12"/>
      <c r="R75" s="12"/>
      <c r="S75" s="12"/>
      <c r="T75" s="12"/>
      <c r="U75" s="12"/>
      <c r="V75" s="12"/>
      <c r="W75" s="12"/>
      <c r="X75" s="12"/>
    </row>
    <row r="76">
      <c r="A76" s="12"/>
      <c r="B76" s="48">
        <v>0.9549</v>
      </c>
      <c r="C76" s="35">
        <f t="shared" si="1"/>
        <v>0.4059</v>
      </c>
      <c r="D76" s="27">
        <f t="shared" si="2"/>
        <v>0.16475481</v>
      </c>
      <c r="E76" s="12"/>
      <c r="F76" s="12"/>
      <c r="G76" s="12"/>
      <c r="H76" s="12"/>
      <c r="I76" s="12"/>
      <c r="J76" s="12"/>
      <c r="K76" s="12"/>
      <c r="L76" s="12"/>
      <c r="M76" s="12"/>
      <c r="N76" s="12"/>
      <c r="O76" s="12"/>
      <c r="P76" s="12"/>
      <c r="Q76" s="12"/>
      <c r="R76" s="12"/>
      <c r="S76" s="12"/>
      <c r="T76" s="12"/>
      <c r="U76" s="12"/>
      <c r="V76" s="12"/>
      <c r="W76" s="12"/>
      <c r="X76" s="12"/>
    </row>
    <row r="77">
      <c r="A77" s="12"/>
      <c r="B77" s="48">
        <v>0.8388</v>
      </c>
      <c r="C77" s="49">
        <f t="shared" si="1"/>
        <v>0.2898</v>
      </c>
      <c r="D77" s="27">
        <f t="shared" si="2"/>
        <v>0.08398404</v>
      </c>
      <c r="E77" s="12"/>
      <c r="F77" s="12"/>
      <c r="G77" s="12"/>
      <c r="H77" s="12"/>
      <c r="I77" s="12"/>
      <c r="J77" s="12"/>
      <c r="K77" s="12"/>
      <c r="L77" s="12"/>
      <c r="M77" s="12"/>
      <c r="N77" s="12"/>
      <c r="O77" s="12"/>
      <c r="P77" s="12"/>
      <c r="Q77" s="12"/>
      <c r="R77" s="12"/>
      <c r="S77" s="12"/>
      <c r="T77" s="12"/>
      <c r="U77" s="12"/>
      <c r="V77" s="12"/>
      <c r="W77" s="12"/>
      <c r="X77" s="12"/>
    </row>
    <row r="78">
      <c r="A78" s="12"/>
      <c r="B78" s="48">
        <v>0.6577</v>
      </c>
      <c r="C78" s="35">
        <f t="shared" si="1"/>
        <v>0.1087</v>
      </c>
      <c r="D78" s="27">
        <f t="shared" si="2"/>
        <v>0.01181569</v>
      </c>
      <c r="E78" s="12"/>
      <c r="F78" s="12"/>
      <c r="G78" s="12"/>
      <c r="H78" s="12"/>
      <c r="I78" s="12"/>
      <c r="J78" s="12"/>
      <c r="K78" s="12"/>
      <c r="L78" s="12"/>
      <c r="M78" s="12"/>
      <c r="N78" s="12"/>
      <c r="O78" s="12"/>
      <c r="P78" s="12"/>
      <c r="Q78" s="12"/>
      <c r="R78" s="12"/>
      <c r="S78" s="12"/>
      <c r="T78" s="12"/>
      <c r="U78" s="12"/>
      <c r="V78" s="12"/>
      <c r="W78" s="12"/>
      <c r="X78" s="12"/>
    </row>
    <row r="79">
      <c r="A79" s="12"/>
      <c r="B79" s="48">
        <v>0.0159</v>
      </c>
      <c r="C79" s="49">
        <f t="shared" si="1"/>
        <v>-0.5331</v>
      </c>
      <c r="D79" s="27">
        <f t="shared" si="2"/>
        <v>0.28419561</v>
      </c>
      <c r="E79" s="12"/>
      <c r="F79" s="12"/>
      <c r="G79" s="12"/>
      <c r="H79" s="12"/>
      <c r="I79" s="12"/>
      <c r="J79" s="12"/>
      <c r="K79" s="12"/>
      <c r="L79" s="12"/>
      <c r="M79" s="12"/>
      <c r="N79" s="12"/>
      <c r="O79" s="12"/>
      <c r="P79" s="12"/>
      <c r="Q79" s="12"/>
      <c r="R79" s="12"/>
      <c r="S79" s="12"/>
      <c r="T79" s="12"/>
      <c r="U79" s="12"/>
      <c r="V79" s="12"/>
      <c r="W79" s="12"/>
      <c r="X79" s="12"/>
    </row>
    <row r="80">
      <c r="A80" s="12"/>
      <c r="B80" s="48">
        <v>0.8465</v>
      </c>
      <c r="C80" s="35">
        <f t="shared" si="1"/>
        <v>0.2975</v>
      </c>
      <c r="D80" s="27">
        <f t="shared" si="2"/>
        <v>0.08850625</v>
      </c>
      <c r="E80" s="12"/>
      <c r="F80" s="12"/>
      <c r="G80" s="12"/>
      <c r="H80" s="12"/>
      <c r="I80" s="12"/>
      <c r="J80" s="12"/>
      <c r="K80" s="12"/>
      <c r="L80" s="12"/>
      <c r="M80" s="12"/>
      <c r="N80" s="12"/>
      <c r="O80" s="12"/>
      <c r="P80" s="12"/>
      <c r="Q80" s="12"/>
      <c r="R80" s="12"/>
      <c r="S80" s="12"/>
      <c r="T80" s="12"/>
      <c r="U80" s="12"/>
      <c r="V80" s="12"/>
      <c r="W80" s="12"/>
      <c r="X80" s="12"/>
    </row>
    <row r="81">
      <c r="A81" s="12"/>
      <c r="B81" s="48">
        <v>0.0676</v>
      </c>
      <c r="C81" s="49">
        <f t="shared" si="1"/>
        <v>-0.4814</v>
      </c>
      <c r="D81" s="27">
        <f t="shared" si="2"/>
        <v>0.23174596</v>
      </c>
      <c r="E81" s="12"/>
      <c r="F81" s="12"/>
      <c r="G81" s="12"/>
      <c r="H81" s="12"/>
      <c r="I81" s="12"/>
      <c r="J81" s="12"/>
      <c r="K81" s="12"/>
      <c r="L81" s="12"/>
      <c r="M81" s="12"/>
      <c r="N81" s="12"/>
      <c r="O81" s="12"/>
      <c r="P81" s="12"/>
      <c r="Q81" s="12"/>
      <c r="R81" s="12"/>
      <c r="S81" s="12"/>
      <c r="T81" s="12"/>
      <c r="U81" s="12"/>
      <c r="V81" s="12"/>
      <c r="W81" s="12"/>
      <c r="X81" s="12"/>
    </row>
    <row r="82">
      <c r="A82" s="12"/>
      <c r="B82" s="48">
        <v>0.599</v>
      </c>
      <c r="C82" s="35">
        <f t="shared" si="1"/>
        <v>0.05</v>
      </c>
      <c r="D82" s="27">
        <f t="shared" si="2"/>
        <v>0.0025</v>
      </c>
      <c r="E82" s="12"/>
      <c r="F82" s="12"/>
      <c r="G82" s="12"/>
      <c r="H82" s="12"/>
      <c r="I82" s="12"/>
      <c r="J82" s="12"/>
      <c r="K82" s="12"/>
      <c r="L82" s="12"/>
      <c r="M82" s="12"/>
      <c r="N82" s="12"/>
      <c r="O82" s="12"/>
      <c r="P82" s="12"/>
      <c r="Q82" s="12"/>
      <c r="R82" s="12"/>
      <c r="S82" s="12"/>
      <c r="T82" s="12"/>
      <c r="U82" s="12"/>
      <c r="V82" s="12"/>
      <c r="W82" s="12"/>
      <c r="X82" s="12"/>
    </row>
    <row r="83">
      <c r="A83" s="12"/>
      <c r="B83" s="48">
        <v>0.8907</v>
      </c>
      <c r="C83" s="49">
        <f t="shared" si="1"/>
        <v>0.3417</v>
      </c>
      <c r="D83" s="27">
        <f t="shared" si="2"/>
        <v>0.11675889</v>
      </c>
      <c r="E83" s="12"/>
      <c r="F83" s="12"/>
      <c r="G83" s="12"/>
      <c r="H83" s="12"/>
      <c r="I83" s="12"/>
      <c r="J83" s="12"/>
      <c r="K83" s="12"/>
      <c r="L83" s="12"/>
      <c r="M83" s="12"/>
      <c r="N83" s="12"/>
      <c r="O83" s="12"/>
      <c r="P83" s="12"/>
      <c r="Q83" s="12"/>
      <c r="R83" s="12"/>
      <c r="S83" s="12"/>
      <c r="T83" s="12"/>
      <c r="U83" s="12"/>
      <c r="V83" s="12"/>
      <c r="W83" s="12"/>
      <c r="X83" s="12"/>
    </row>
    <row r="84">
      <c r="A84" s="12"/>
      <c r="B84" s="48">
        <v>0.4208</v>
      </c>
      <c r="C84" s="35">
        <f t="shared" si="1"/>
        <v>-0.1282</v>
      </c>
      <c r="D84" s="27">
        <f t="shared" si="2"/>
        <v>0.01643524</v>
      </c>
      <c r="E84" s="12"/>
      <c r="F84" s="12"/>
      <c r="G84" s="12"/>
      <c r="H84" s="12"/>
      <c r="I84" s="12"/>
      <c r="J84" s="12"/>
      <c r="K84" s="12"/>
      <c r="L84" s="12"/>
      <c r="M84" s="12"/>
      <c r="N84" s="12"/>
      <c r="O84" s="12"/>
      <c r="P84" s="12"/>
      <c r="Q84" s="12"/>
      <c r="R84" s="12"/>
      <c r="S84" s="12"/>
      <c r="T84" s="12"/>
      <c r="U84" s="12"/>
      <c r="V84" s="12"/>
      <c r="W84" s="12"/>
      <c r="X84" s="12"/>
    </row>
    <row r="85">
      <c r="A85" s="12"/>
      <c r="B85" s="48">
        <v>0.4033</v>
      </c>
      <c r="C85" s="49">
        <f t="shared" si="1"/>
        <v>-0.1457</v>
      </c>
      <c r="D85" s="27">
        <f t="shared" si="2"/>
        <v>0.02122849</v>
      </c>
      <c r="E85" s="12"/>
      <c r="F85" s="12"/>
      <c r="G85" s="12"/>
      <c r="H85" s="12"/>
      <c r="I85" s="12"/>
      <c r="J85" s="12"/>
      <c r="K85" s="12"/>
      <c r="L85" s="12"/>
      <c r="M85" s="12"/>
      <c r="N85" s="12"/>
      <c r="O85" s="12"/>
      <c r="P85" s="12"/>
      <c r="Q85" s="12"/>
      <c r="R85" s="12"/>
      <c r="S85" s="12"/>
      <c r="T85" s="12"/>
      <c r="U85" s="12"/>
      <c r="V85" s="12"/>
      <c r="W85" s="12"/>
      <c r="X85" s="12"/>
    </row>
    <row r="86">
      <c r="A86" s="12"/>
      <c r="B86" s="48">
        <v>0.4716</v>
      </c>
      <c r="C86" s="35">
        <f t="shared" si="1"/>
        <v>-0.0774</v>
      </c>
      <c r="D86" s="27">
        <f t="shared" si="2"/>
        <v>0.00599076</v>
      </c>
      <c r="E86" s="12"/>
      <c r="F86" s="12"/>
      <c r="G86" s="12"/>
      <c r="H86" s="12"/>
      <c r="I86" s="12"/>
      <c r="J86" s="12"/>
      <c r="K86" s="12"/>
      <c r="L86" s="12"/>
      <c r="M86" s="12"/>
      <c r="N86" s="12"/>
      <c r="O86" s="12"/>
      <c r="P86" s="12"/>
      <c r="Q86" s="12"/>
      <c r="R86" s="12"/>
      <c r="S86" s="12"/>
      <c r="T86" s="12"/>
      <c r="U86" s="12"/>
      <c r="V86" s="12"/>
      <c r="W86" s="12"/>
      <c r="X86" s="12"/>
    </row>
    <row r="87">
      <c r="A87" s="12"/>
      <c r="B87" s="48">
        <v>0.1079</v>
      </c>
      <c r="C87" s="49">
        <f t="shared" si="1"/>
        <v>-0.4411</v>
      </c>
      <c r="D87" s="27">
        <f t="shared" si="2"/>
        <v>0.19456921</v>
      </c>
      <c r="E87" s="12"/>
      <c r="F87" s="12"/>
      <c r="G87" s="12"/>
      <c r="H87" s="12"/>
      <c r="I87" s="12"/>
      <c r="J87" s="12"/>
      <c r="K87" s="12"/>
      <c r="L87" s="12"/>
      <c r="M87" s="12"/>
      <c r="N87" s="12"/>
      <c r="O87" s="12"/>
      <c r="P87" s="12"/>
      <c r="Q87" s="12"/>
      <c r="R87" s="12"/>
      <c r="S87" s="12"/>
      <c r="T87" s="12"/>
      <c r="U87" s="12"/>
      <c r="V87" s="12"/>
      <c r="W87" s="12"/>
      <c r="X87" s="12"/>
    </row>
    <row r="88">
      <c r="A88" s="12"/>
      <c r="B88" s="48">
        <v>0.7445</v>
      </c>
      <c r="C88" s="35">
        <f t="shared" si="1"/>
        <v>0.1955</v>
      </c>
      <c r="D88" s="27">
        <f t="shared" si="2"/>
        <v>0.03822025</v>
      </c>
      <c r="E88" s="12"/>
      <c r="F88" s="12"/>
      <c r="G88" s="12"/>
      <c r="H88" s="12"/>
      <c r="I88" s="12"/>
      <c r="J88" s="12"/>
      <c r="K88" s="12"/>
      <c r="L88" s="12"/>
      <c r="M88" s="12"/>
      <c r="N88" s="12"/>
      <c r="O88" s="12"/>
      <c r="P88" s="12"/>
      <c r="Q88" s="12"/>
      <c r="R88" s="12"/>
      <c r="S88" s="12"/>
      <c r="T88" s="12"/>
      <c r="U88" s="12"/>
      <c r="V88" s="12"/>
      <c r="W88" s="12"/>
      <c r="X88" s="12"/>
    </row>
    <row r="89">
      <c r="A89" s="12"/>
      <c r="B89" s="48">
        <v>0.6371</v>
      </c>
      <c r="C89" s="49">
        <f t="shared" si="1"/>
        <v>0.0881</v>
      </c>
      <c r="D89" s="27">
        <f t="shared" si="2"/>
        <v>0.00776161</v>
      </c>
      <c r="E89" s="12"/>
      <c r="F89" s="12"/>
      <c r="G89" s="12"/>
      <c r="H89" s="12"/>
      <c r="I89" s="12"/>
      <c r="J89" s="12"/>
      <c r="K89" s="12"/>
      <c r="L89" s="12"/>
      <c r="M89" s="12"/>
      <c r="N89" s="12"/>
      <c r="O89" s="12"/>
      <c r="P89" s="12"/>
      <c r="Q89" s="12"/>
      <c r="R89" s="12"/>
      <c r="S89" s="12"/>
      <c r="T89" s="12"/>
      <c r="U89" s="12"/>
      <c r="V89" s="12"/>
      <c r="W89" s="12"/>
      <c r="X89" s="12"/>
    </row>
    <row r="90">
      <c r="A90" s="12"/>
      <c r="B90" s="48">
        <v>0.9192</v>
      </c>
      <c r="C90" s="35">
        <f t="shared" si="1"/>
        <v>0.3702</v>
      </c>
      <c r="D90" s="27">
        <f t="shared" si="2"/>
        <v>0.13704804</v>
      </c>
      <c r="E90" s="12"/>
      <c r="F90" s="12"/>
      <c r="G90" s="12"/>
      <c r="H90" s="12"/>
      <c r="I90" s="12"/>
      <c r="J90" s="12"/>
      <c r="K90" s="12"/>
      <c r="L90" s="12"/>
      <c r="M90" s="12"/>
      <c r="N90" s="12"/>
      <c r="O90" s="12"/>
      <c r="P90" s="12"/>
      <c r="Q90" s="12"/>
      <c r="R90" s="12"/>
      <c r="S90" s="12"/>
      <c r="T90" s="12"/>
      <c r="U90" s="12"/>
      <c r="V90" s="12"/>
      <c r="W90" s="12"/>
      <c r="X90" s="12"/>
    </row>
    <row r="91">
      <c r="A91" s="12"/>
      <c r="B91" s="48">
        <v>0.9382</v>
      </c>
      <c r="C91" s="49">
        <f t="shared" si="1"/>
        <v>0.3892</v>
      </c>
      <c r="D91" s="27">
        <f t="shared" si="2"/>
        <v>0.15147664</v>
      </c>
      <c r="E91" s="12"/>
      <c r="F91" s="12"/>
      <c r="G91" s="12"/>
      <c r="H91" s="12"/>
      <c r="I91" s="12"/>
      <c r="J91" s="12"/>
      <c r="K91" s="12"/>
      <c r="L91" s="12"/>
      <c r="M91" s="12"/>
      <c r="N91" s="12"/>
      <c r="O91" s="12"/>
      <c r="P91" s="12"/>
      <c r="Q91" s="12"/>
      <c r="R91" s="12"/>
      <c r="S91" s="12"/>
      <c r="T91" s="12"/>
      <c r="U91" s="12"/>
      <c r="V91" s="12"/>
      <c r="W91" s="12"/>
      <c r="X91" s="12"/>
    </row>
    <row r="92">
      <c r="A92" s="12"/>
      <c r="B92" s="48">
        <v>0.9497</v>
      </c>
      <c r="C92" s="35">
        <f t="shared" si="1"/>
        <v>0.4007</v>
      </c>
      <c r="D92" s="27">
        <f t="shared" si="2"/>
        <v>0.16056049</v>
      </c>
      <c r="E92" s="12"/>
      <c r="F92" s="12"/>
      <c r="G92" s="12"/>
      <c r="H92" s="12"/>
      <c r="I92" s="12"/>
      <c r="J92" s="12"/>
      <c r="K92" s="12"/>
      <c r="L92" s="12"/>
      <c r="M92" s="12"/>
      <c r="N92" s="12"/>
      <c r="O92" s="12"/>
      <c r="P92" s="12"/>
      <c r="Q92" s="12"/>
      <c r="R92" s="12"/>
      <c r="S92" s="12"/>
      <c r="T92" s="12"/>
      <c r="U92" s="12"/>
      <c r="V92" s="12"/>
      <c r="W92" s="12"/>
      <c r="X92" s="12"/>
    </row>
    <row r="93">
      <c r="A93" s="12"/>
      <c r="B93" s="48">
        <v>0.562</v>
      </c>
      <c r="C93" s="49">
        <f t="shared" si="1"/>
        <v>0.013</v>
      </c>
      <c r="D93" s="27">
        <f t="shared" si="2"/>
        <v>0.000169</v>
      </c>
      <c r="E93" s="12"/>
      <c r="F93" s="12"/>
      <c r="G93" s="12"/>
      <c r="H93" s="12"/>
      <c r="I93" s="12"/>
      <c r="J93" s="12"/>
      <c r="K93" s="12"/>
      <c r="L93" s="12"/>
      <c r="M93" s="12"/>
      <c r="N93" s="12"/>
      <c r="O93" s="12"/>
      <c r="P93" s="12"/>
      <c r="Q93" s="12"/>
      <c r="R93" s="12"/>
      <c r="S93" s="12"/>
      <c r="T93" s="12"/>
      <c r="U93" s="12"/>
      <c r="V93" s="12"/>
      <c r="W93" s="12"/>
      <c r="X93" s="12"/>
    </row>
    <row r="94">
      <c r="A94" s="12"/>
      <c r="B94" s="48">
        <v>0.9208</v>
      </c>
      <c r="C94" s="35">
        <f t="shared" si="1"/>
        <v>0.3718</v>
      </c>
      <c r="D94" s="27">
        <f t="shared" si="2"/>
        <v>0.13823524</v>
      </c>
      <c r="E94" s="12"/>
      <c r="F94" s="12"/>
      <c r="G94" s="12"/>
      <c r="H94" s="12"/>
      <c r="I94" s="12"/>
      <c r="J94" s="12"/>
      <c r="K94" s="12"/>
      <c r="L94" s="12"/>
      <c r="M94" s="12"/>
      <c r="N94" s="12"/>
      <c r="O94" s="12"/>
      <c r="P94" s="12"/>
      <c r="Q94" s="12"/>
      <c r="R94" s="12"/>
      <c r="S94" s="12"/>
      <c r="T94" s="12"/>
      <c r="U94" s="12"/>
      <c r="V94" s="12"/>
      <c r="W94" s="12"/>
      <c r="X94" s="12"/>
    </row>
    <row r="95">
      <c r="A95" s="12"/>
      <c r="B95" s="48">
        <v>0.0233</v>
      </c>
      <c r="C95" s="49">
        <f t="shared" si="1"/>
        <v>-0.5257</v>
      </c>
      <c r="D95" s="27">
        <f t="shared" si="2"/>
        <v>0.27636049</v>
      </c>
      <c r="E95" s="12"/>
      <c r="F95" s="12"/>
      <c r="G95" s="12"/>
      <c r="H95" s="12"/>
      <c r="I95" s="12"/>
      <c r="J95" s="12"/>
      <c r="K95" s="12"/>
      <c r="L95" s="12"/>
      <c r="M95" s="12"/>
      <c r="N95" s="12"/>
      <c r="O95" s="12"/>
      <c r="P95" s="12"/>
      <c r="Q95" s="12"/>
      <c r="R95" s="12"/>
      <c r="S95" s="12"/>
      <c r="T95" s="12"/>
      <c r="U95" s="12"/>
      <c r="V95" s="12"/>
      <c r="W95" s="12"/>
      <c r="X95" s="12"/>
    </row>
    <row r="96">
      <c r="A96" s="12"/>
      <c r="B96" s="48">
        <v>0.2404</v>
      </c>
      <c r="C96" s="35">
        <f t="shared" si="1"/>
        <v>-0.3086</v>
      </c>
      <c r="D96" s="27">
        <f t="shared" si="2"/>
        <v>0.09523396</v>
      </c>
      <c r="E96" s="12"/>
      <c r="F96" s="12"/>
      <c r="G96" s="12"/>
      <c r="H96" s="12"/>
      <c r="I96" s="12"/>
      <c r="J96" s="12"/>
      <c r="K96" s="12"/>
      <c r="L96" s="12"/>
      <c r="M96" s="12"/>
      <c r="N96" s="12"/>
      <c r="O96" s="12"/>
      <c r="P96" s="12"/>
      <c r="Q96" s="12"/>
      <c r="R96" s="12"/>
      <c r="S96" s="12"/>
      <c r="T96" s="12"/>
      <c r="U96" s="12"/>
      <c r="V96" s="12"/>
      <c r="W96" s="12"/>
      <c r="X96" s="12"/>
    </row>
    <row r="97">
      <c r="A97" s="12"/>
      <c r="B97" s="48">
        <v>0.7988</v>
      </c>
      <c r="C97" s="49">
        <f t="shared" si="1"/>
        <v>0.2498</v>
      </c>
      <c r="D97" s="27">
        <f t="shared" si="2"/>
        <v>0.06240004</v>
      </c>
      <c r="E97" s="12"/>
      <c r="F97" s="12"/>
      <c r="G97" s="12"/>
      <c r="H97" s="12"/>
      <c r="I97" s="12"/>
      <c r="J97" s="12"/>
      <c r="K97" s="12"/>
      <c r="L97" s="12"/>
      <c r="M97" s="12"/>
      <c r="N97" s="12"/>
      <c r="O97" s="12"/>
      <c r="P97" s="12"/>
      <c r="Q97" s="12"/>
      <c r="R97" s="12"/>
      <c r="S97" s="12"/>
      <c r="T97" s="12"/>
      <c r="U97" s="12"/>
      <c r="V97" s="12"/>
      <c r="W97" s="12"/>
      <c r="X97" s="12"/>
    </row>
    <row r="98">
      <c r="A98" s="12"/>
      <c r="B98" s="48">
        <v>0.5281</v>
      </c>
      <c r="C98" s="35">
        <f t="shared" si="1"/>
        <v>-0.0209</v>
      </c>
      <c r="D98" s="27">
        <f t="shared" si="2"/>
        <v>0.00043681</v>
      </c>
      <c r="E98" s="12"/>
      <c r="F98" s="12"/>
      <c r="G98" s="12"/>
      <c r="H98" s="12"/>
      <c r="I98" s="12"/>
      <c r="J98" s="12"/>
      <c r="K98" s="12"/>
      <c r="L98" s="12"/>
      <c r="M98" s="12"/>
      <c r="N98" s="12"/>
      <c r="O98" s="12"/>
      <c r="P98" s="12"/>
      <c r="Q98" s="12"/>
      <c r="R98" s="12"/>
      <c r="S98" s="12"/>
      <c r="T98" s="12"/>
      <c r="U98" s="12"/>
      <c r="V98" s="12"/>
      <c r="W98" s="12"/>
      <c r="X98" s="12"/>
    </row>
    <row r="99">
      <c r="A99" s="12"/>
      <c r="B99" s="48">
        <v>0.116</v>
      </c>
      <c r="C99" s="49">
        <f t="shared" si="1"/>
        <v>-0.433</v>
      </c>
      <c r="D99" s="27">
        <f t="shared" si="2"/>
        <v>0.187489</v>
      </c>
      <c r="E99" s="12"/>
      <c r="F99" s="12"/>
      <c r="G99" s="12"/>
      <c r="H99" s="12"/>
      <c r="I99" s="12"/>
      <c r="J99" s="12"/>
      <c r="K99" s="12"/>
      <c r="L99" s="12"/>
      <c r="M99" s="12"/>
      <c r="N99" s="12"/>
      <c r="O99" s="12"/>
      <c r="P99" s="12"/>
      <c r="Q99" s="12"/>
      <c r="R99" s="12"/>
      <c r="S99" s="12"/>
      <c r="T99" s="12"/>
      <c r="U99" s="12"/>
      <c r="V99" s="12"/>
      <c r="W99" s="12"/>
      <c r="X99" s="12"/>
    </row>
    <row r="100">
      <c r="A100" s="12"/>
      <c r="B100" s="48">
        <v>0.1758</v>
      </c>
      <c r="C100" s="35">
        <f t="shared" si="1"/>
        <v>-0.3732</v>
      </c>
      <c r="D100" s="27">
        <f t="shared" si="2"/>
        <v>0.13927824</v>
      </c>
      <c r="E100" s="12"/>
      <c r="F100" s="12"/>
      <c r="G100" s="12"/>
      <c r="H100" s="12"/>
      <c r="I100" s="12"/>
      <c r="J100" s="12"/>
      <c r="K100" s="12"/>
      <c r="L100" s="12"/>
      <c r="M100" s="12"/>
      <c r="N100" s="12"/>
      <c r="O100" s="12"/>
      <c r="P100" s="12"/>
      <c r="Q100" s="12"/>
      <c r="R100" s="12"/>
      <c r="S100" s="12"/>
      <c r="T100" s="12"/>
      <c r="U100" s="12"/>
      <c r="V100" s="12"/>
      <c r="W100" s="12"/>
      <c r="X100" s="12"/>
    </row>
    <row r="101">
      <c r="A101" s="12"/>
      <c r="B101" s="48">
        <v>0.3595</v>
      </c>
      <c r="C101" s="49">
        <f t="shared" si="1"/>
        <v>-0.1895</v>
      </c>
      <c r="D101" s="27">
        <f t="shared" si="2"/>
        <v>0.03591025</v>
      </c>
      <c r="E101" s="12"/>
      <c r="F101" s="12"/>
      <c r="G101" s="12"/>
      <c r="H101" s="12"/>
      <c r="I101" s="12"/>
      <c r="J101" s="12"/>
      <c r="K101" s="12"/>
      <c r="L101" s="12"/>
      <c r="M101" s="12"/>
      <c r="N101" s="12"/>
      <c r="O101" s="12"/>
      <c r="P101" s="12"/>
      <c r="Q101" s="12"/>
      <c r="R101" s="12"/>
      <c r="S101" s="12"/>
      <c r="T101" s="12"/>
      <c r="U101" s="12"/>
      <c r="V101" s="12"/>
      <c r="W101" s="12"/>
      <c r="X101" s="12"/>
    </row>
    <row r="102">
      <c r="A102" s="12"/>
      <c r="B102" s="48">
        <v>0.1397</v>
      </c>
      <c r="C102" s="35">
        <f t="shared" si="1"/>
        <v>-0.4093</v>
      </c>
      <c r="D102" s="27">
        <f t="shared" si="2"/>
        <v>0.16752649</v>
      </c>
      <c r="E102" s="12"/>
      <c r="F102" s="12"/>
      <c r="G102" s="12"/>
      <c r="H102" s="12"/>
      <c r="I102" s="12"/>
      <c r="J102" s="12"/>
      <c r="K102" s="12"/>
      <c r="L102" s="12"/>
      <c r="M102" s="12"/>
      <c r="N102" s="12"/>
      <c r="O102" s="12"/>
      <c r="P102" s="12"/>
      <c r="Q102" s="12"/>
      <c r="R102" s="12"/>
      <c r="S102" s="12"/>
      <c r="T102" s="12"/>
      <c r="U102" s="12"/>
      <c r="V102" s="12"/>
      <c r="W102" s="12"/>
      <c r="X102" s="12"/>
    </row>
    <row r="103">
      <c r="A103" s="12"/>
      <c r="B103" s="12"/>
      <c r="C103" s="12"/>
      <c r="D103" s="15">
        <f>SUM(D3:D102)</f>
        <v>8.5819112</v>
      </c>
      <c r="E103" s="12"/>
      <c r="F103" s="12"/>
      <c r="G103" s="12"/>
      <c r="H103" s="12"/>
      <c r="I103" s="12"/>
      <c r="J103" s="12"/>
      <c r="K103" s="12"/>
      <c r="L103" s="12"/>
      <c r="M103" s="12"/>
      <c r="N103" s="12"/>
      <c r="O103" s="12"/>
      <c r="P103" s="12"/>
      <c r="Q103" s="12"/>
      <c r="R103" s="12"/>
      <c r="S103" s="12"/>
      <c r="T103" s="12"/>
      <c r="U103" s="12"/>
      <c r="V103" s="12"/>
      <c r="W103" s="12"/>
      <c r="X103" s="12"/>
    </row>
  </sheetData>
  <mergeCells count="2">
    <mergeCell ref="A1:X1"/>
    <mergeCell ref="F16:W1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9.63"/>
    <col customWidth="1" min="9" max="9" width="16.88"/>
  </cols>
  <sheetData>
    <row r="1">
      <c r="A1" s="66" t="s">
        <v>153</v>
      </c>
      <c r="B1" s="24"/>
      <c r="C1" s="24"/>
      <c r="D1" s="24"/>
      <c r="E1" s="24"/>
      <c r="F1" s="24"/>
      <c r="G1" s="24"/>
      <c r="H1" s="24"/>
      <c r="I1" s="24"/>
      <c r="J1" s="24"/>
      <c r="K1" s="24"/>
      <c r="L1" s="24"/>
      <c r="M1" s="24"/>
      <c r="N1" s="24"/>
      <c r="O1" s="24"/>
      <c r="P1" s="24"/>
      <c r="Q1" s="24"/>
      <c r="R1" s="24"/>
      <c r="S1" s="24"/>
      <c r="T1" s="24"/>
      <c r="U1" s="24"/>
      <c r="V1" s="20"/>
    </row>
    <row r="2">
      <c r="A2" s="12"/>
      <c r="B2" s="12"/>
      <c r="C2" s="12"/>
      <c r="D2" s="12"/>
      <c r="E2" s="12"/>
      <c r="F2" s="12"/>
      <c r="G2" s="12"/>
      <c r="H2" s="12"/>
      <c r="I2" s="12"/>
      <c r="J2" s="12"/>
      <c r="K2" s="12"/>
      <c r="L2" s="12"/>
      <c r="M2" s="12"/>
      <c r="N2" s="12"/>
      <c r="O2" s="12"/>
      <c r="P2" s="12"/>
      <c r="Q2" s="12"/>
      <c r="R2" s="12"/>
      <c r="S2" s="12"/>
      <c r="T2" s="12"/>
      <c r="U2" s="12"/>
      <c r="V2" s="12"/>
    </row>
    <row r="3">
      <c r="A3" s="12"/>
      <c r="B3" s="12"/>
      <c r="C3" s="12"/>
      <c r="D3" s="12"/>
      <c r="E3" s="12"/>
      <c r="F3" s="12"/>
      <c r="G3" s="12"/>
      <c r="H3" s="12"/>
      <c r="I3" s="12"/>
      <c r="J3" s="12"/>
      <c r="K3" s="12"/>
      <c r="L3" s="12"/>
      <c r="M3" s="12"/>
      <c r="N3" s="12"/>
      <c r="O3" s="12"/>
      <c r="P3" s="12"/>
      <c r="Q3" s="12"/>
      <c r="R3" s="12"/>
      <c r="S3" s="12"/>
      <c r="T3" s="12"/>
      <c r="U3" s="12"/>
      <c r="V3" s="12"/>
    </row>
    <row r="4">
      <c r="A4" s="12"/>
      <c r="B4" s="25">
        <v>0.7864</v>
      </c>
      <c r="C4" s="12"/>
      <c r="D4" s="12"/>
      <c r="E4" s="12"/>
      <c r="F4" s="12"/>
      <c r="G4" s="12"/>
      <c r="H4" s="12"/>
      <c r="I4" s="12"/>
      <c r="J4" s="12"/>
      <c r="K4" s="12"/>
      <c r="L4" s="12"/>
      <c r="M4" s="12"/>
      <c r="N4" s="12"/>
      <c r="O4" s="12"/>
      <c r="P4" s="12"/>
      <c r="Q4" s="12"/>
      <c r="R4" s="12"/>
      <c r="S4" s="12"/>
      <c r="T4" s="12"/>
      <c r="U4" s="12"/>
      <c r="V4" s="12"/>
    </row>
    <row r="5">
      <c r="A5" s="12"/>
      <c r="B5" s="25">
        <v>0.8679</v>
      </c>
      <c r="C5" s="12"/>
      <c r="D5" s="12"/>
      <c r="E5" s="12"/>
      <c r="F5" s="28" t="s">
        <v>154</v>
      </c>
      <c r="G5" s="53">
        <v>100.0</v>
      </c>
      <c r="H5" s="12"/>
      <c r="I5" s="12"/>
      <c r="J5" s="12"/>
      <c r="K5" s="12"/>
      <c r="L5" s="12"/>
      <c r="M5" s="12"/>
      <c r="N5" s="12"/>
      <c r="O5" s="12"/>
      <c r="P5" s="12"/>
      <c r="Q5" s="12"/>
      <c r="R5" s="12"/>
      <c r="S5" s="12"/>
      <c r="T5" s="12"/>
      <c r="U5" s="12"/>
      <c r="V5" s="12"/>
    </row>
    <row r="6">
      <c r="A6" s="12"/>
      <c r="B6" s="25">
        <v>0.2069</v>
      </c>
      <c r="C6" s="12"/>
      <c r="D6" s="12"/>
      <c r="E6" s="42" t="s">
        <v>155</v>
      </c>
      <c r="F6" s="56" t="s">
        <v>156</v>
      </c>
      <c r="G6" s="53">
        <f>SQRT(G5)</f>
        <v>10</v>
      </c>
      <c r="H6" s="67">
        <f>ROUNDUP(G6,0)</f>
        <v>10</v>
      </c>
      <c r="I6" s="12"/>
      <c r="J6" s="12"/>
      <c r="K6" s="12"/>
      <c r="L6" s="12"/>
      <c r="M6" s="12"/>
      <c r="N6" s="12"/>
      <c r="O6" s="12"/>
      <c r="P6" s="12"/>
      <c r="Q6" s="12"/>
      <c r="R6" s="12"/>
      <c r="S6" s="12"/>
      <c r="T6" s="12"/>
      <c r="U6" s="12"/>
      <c r="V6" s="12"/>
    </row>
    <row r="7">
      <c r="A7" s="12"/>
      <c r="B7" s="25">
        <v>0.0153</v>
      </c>
      <c r="C7" s="12"/>
      <c r="D7" s="12"/>
      <c r="E7" s="42" t="s">
        <v>157</v>
      </c>
      <c r="F7" s="56" t="s">
        <v>158</v>
      </c>
      <c r="G7" s="53">
        <f>G5/H6</f>
        <v>10</v>
      </c>
      <c r="H7" s="12"/>
      <c r="I7" s="12"/>
      <c r="J7" s="12"/>
      <c r="K7" s="12"/>
      <c r="L7" s="12"/>
      <c r="M7" s="12"/>
      <c r="N7" s="12"/>
      <c r="O7" s="12"/>
      <c r="P7" s="12"/>
      <c r="Q7" s="12"/>
      <c r="R7" s="12"/>
      <c r="S7" s="12"/>
      <c r="T7" s="12"/>
      <c r="U7" s="12"/>
      <c r="V7" s="12"/>
    </row>
    <row r="8">
      <c r="A8" s="12"/>
      <c r="B8" s="25">
        <v>0.8145</v>
      </c>
      <c r="C8" s="12"/>
      <c r="D8" s="12"/>
      <c r="E8" s="12"/>
      <c r="F8" s="12"/>
      <c r="G8" s="12"/>
      <c r="H8" s="12"/>
      <c r="I8" s="42" t="s">
        <v>159</v>
      </c>
      <c r="J8" s="42" t="s">
        <v>157</v>
      </c>
      <c r="K8" s="12"/>
      <c r="L8" s="12"/>
      <c r="M8" s="12"/>
      <c r="N8" s="12"/>
      <c r="O8" s="12"/>
      <c r="P8" s="12"/>
      <c r="Q8" s="12"/>
      <c r="R8" s="12"/>
      <c r="S8" s="12"/>
      <c r="T8" s="12"/>
      <c r="U8" s="12"/>
      <c r="V8" s="12"/>
    </row>
    <row r="9">
      <c r="A9" s="12"/>
      <c r="B9" s="25">
        <v>0.3639</v>
      </c>
      <c r="C9" s="12"/>
      <c r="D9" s="12"/>
      <c r="E9" s="12"/>
      <c r="F9" s="12"/>
      <c r="G9" s="68" t="s">
        <v>160</v>
      </c>
      <c r="H9" s="20"/>
      <c r="I9" s="69" t="s">
        <v>161</v>
      </c>
      <c r="J9" s="69" t="s">
        <v>162</v>
      </c>
      <c r="K9" s="70" t="s">
        <v>163</v>
      </c>
      <c r="L9" s="12"/>
      <c r="M9" s="12"/>
      <c r="N9" s="12"/>
      <c r="O9" s="12"/>
      <c r="P9" s="12"/>
      <c r="Q9" s="12"/>
      <c r="R9" s="12"/>
      <c r="S9" s="12"/>
      <c r="T9" s="12"/>
      <c r="U9" s="12"/>
      <c r="V9" s="12"/>
    </row>
    <row r="10">
      <c r="A10" s="12"/>
      <c r="B10" s="25">
        <v>0.374</v>
      </c>
      <c r="C10" s="12"/>
      <c r="D10" s="12"/>
      <c r="E10" s="12"/>
      <c r="F10" s="12"/>
      <c r="G10" s="71">
        <v>0.0</v>
      </c>
      <c r="H10" s="71">
        <f t="shared" ref="H10:H19" si="1">G11-0.0001</f>
        <v>0.0999</v>
      </c>
      <c r="I10" s="69">
        <f t="shared" ref="I10:I19" si="2">COUNTIFS($B$3:$B$1012,"&gt;=" &amp;G10, $B$3:$B$1012, "&lt;=" &amp;H10)</f>
        <v>9</v>
      </c>
      <c r="J10" s="69">
        <f t="shared" ref="J10:J19" si="3">$G$7</f>
        <v>10</v>
      </c>
      <c r="K10" s="71">
        <f t="shared" ref="K10:K19" si="4">(POWER(J10-I10,2))/J10</f>
        <v>0.1</v>
      </c>
      <c r="L10" s="12"/>
      <c r="M10" s="12"/>
      <c r="N10" s="45"/>
      <c r="O10" s="12"/>
      <c r="P10" s="12"/>
      <c r="Q10" s="12"/>
      <c r="R10" s="12"/>
      <c r="S10" s="12"/>
      <c r="T10" s="12"/>
      <c r="U10" s="12"/>
      <c r="V10" s="12"/>
    </row>
    <row r="11">
      <c r="A11" s="12"/>
      <c r="B11" s="25">
        <v>0.9117</v>
      </c>
      <c r="C11" s="12"/>
      <c r="D11" s="12"/>
      <c r="E11" s="12"/>
      <c r="F11" s="12"/>
      <c r="G11" s="71">
        <v>0.1</v>
      </c>
      <c r="H11" s="71">
        <f t="shared" si="1"/>
        <v>0.1999</v>
      </c>
      <c r="I11" s="69">
        <f t="shared" si="2"/>
        <v>10</v>
      </c>
      <c r="J11" s="69">
        <f t="shared" si="3"/>
        <v>10</v>
      </c>
      <c r="K11" s="71">
        <f t="shared" si="4"/>
        <v>0</v>
      </c>
      <c r="L11" s="12"/>
      <c r="M11" s="12"/>
      <c r="N11" s="45"/>
      <c r="O11" s="12"/>
      <c r="P11" s="12"/>
      <c r="Q11" s="12"/>
      <c r="R11" s="12"/>
      <c r="S11" s="12"/>
      <c r="T11" s="12"/>
      <c r="U11" s="12"/>
      <c r="V11" s="12"/>
    </row>
    <row r="12">
      <c r="A12" s="12"/>
      <c r="B12" s="25">
        <v>0.5389</v>
      </c>
      <c r="C12" s="12"/>
      <c r="D12" s="12"/>
      <c r="E12" s="12"/>
      <c r="F12" s="12"/>
      <c r="G12" s="71">
        <v>0.2</v>
      </c>
      <c r="H12" s="71">
        <f t="shared" si="1"/>
        <v>0.2999</v>
      </c>
      <c r="I12" s="69">
        <f t="shared" si="2"/>
        <v>5</v>
      </c>
      <c r="J12" s="69">
        <f t="shared" si="3"/>
        <v>10</v>
      </c>
      <c r="K12" s="71">
        <f t="shared" si="4"/>
        <v>2.5</v>
      </c>
      <c r="L12" s="12"/>
      <c r="M12" s="45"/>
      <c r="O12" s="12"/>
      <c r="P12" s="12"/>
      <c r="Q12" s="12"/>
      <c r="R12" s="12"/>
      <c r="S12" s="12"/>
      <c r="T12" s="12"/>
      <c r="U12" s="12"/>
      <c r="V12" s="12"/>
    </row>
    <row r="13">
      <c r="A13" s="12"/>
      <c r="B13" s="25">
        <v>0.691</v>
      </c>
      <c r="C13" s="12"/>
      <c r="D13" s="12"/>
      <c r="E13" s="12"/>
      <c r="F13" s="12"/>
      <c r="G13" s="71">
        <v>0.3</v>
      </c>
      <c r="H13" s="71">
        <f t="shared" si="1"/>
        <v>0.3999</v>
      </c>
      <c r="I13" s="69">
        <f t="shared" si="2"/>
        <v>9</v>
      </c>
      <c r="J13" s="69">
        <f t="shared" si="3"/>
        <v>10</v>
      </c>
      <c r="K13" s="71">
        <f t="shared" si="4"/>
        <v>0.1</v>
      </c>
      <c r="L13" s="12"/>
      <c r="M13" s="12"/>
      <c r="N13" s="45"/>
      <c r="O13" s="12"/>
      <c r="P13" s="12"/>
      <c r="Q13" s="12"/>
      <c r="R13" s="12"/>
      <c r="S13" s="12"/>
      <c r="T13" s="12"/>
      <c r="U13" s="12"/>
      <c r="V13" s="12"/>
    </row>
    <row r="14">
      <c r="A14" s="12"/>
      <c r="B14" s="25">
        <v>0.7888</v>
      </c>
      <c r="C14" s="12"/>
      <c r="D14" s="12"/>
      <c r="E14" s="12"/>
      <c r="F14" s="12"/>
      <c r="G14" s="71">
        <v>0.4</v>
      </c>
      <c r="H14" s="71">
        <f t="shared" si="1"/>
        <v>0.4999</v>
      </c>
      <c r="I14" s="69">
        <f t="shared" si="2"/>
        <v>8</v>
      </c>
      <c r="J14" s="69">
        <f t="shared" si="3"/>
        <v>10</v>
      </c>
      <c r="K14" s="71">
        <f t="shared" si="4"/>
        <v>0.4</v>
      </c>
      <c r="L14" s="12"/>
      <c r="M14" s="12"/>
      <c r="N14" s="12"/>
      <c r="O14" s="12"/>
      <c r="P14" s="12"/>
      <c r="Q14" s="12"/>
      <c r="R14" s="12"/>
      <c r="S14" s="12"/>
      <c r="T14" s="12"/>
      <c r="U14" s="12"/>
      <c r="V14" s="12"/>
    </row>
    <row r="15">
      <c r="A15" s="12"/>
      <c r="B15" s="25">
        <v>0.9957</v>
      </c>
      <c r="C15" s="12"/>
      <c r="D15" s="12"/>
      <c r="E15" s="12"/>
      <c r="F15" s="12"/>
      <c r="G15" s="71">
        <v>0.5</v>
      </c>
      <c r="H15" s="71">
        <f t="shared" si="1"/>
        <v>0.5999</v>
      </c>
      <c r="I15" s="69">
        <f t="shared" si="2"/>
        <v>12</v>
      </c>
      <c r="J15" s="69">
        <f t="shared" si="3"/>
        <v>10</v>
      </c>
      <c r="K15" s="71">
        <f t="shared" si="4"/>
        <v>0.4</v>
      </c>
      <c r="L15" s="12"/>
      <c r="M15" s="12"/>
      <c r="N15" s="12"/>
      <c r="O15" s="12"/>
      <c r="P15" s="12"/>
      <c r="Q15" s="12"/>
      <c r="R15" s="12"/>
      <c r="S15" s="12"/>
      <c r="T15" s="12"/>
      <c r="U15" s="12"/>
      <c r="V15" s="12"/>
    </row>
    <row r="16">
      <c r="A16" s="12"/>
      <c r="B16" s="25">
        <v>0.011</v>
      </c>
      <c r="C16" s="12"/>
      <c r="D16" s="12"/>
      <c r="E16" s="12"/>
      <c r="F16" s="12"/>
      <c r="G16" s="71">
        <v>0.6</v>
      </c>
      <c r="H16" s="71">
        <f t="shared" si="1"/>
        <v>0.6999</v>
      </c>
      <c r="I16" s="69">
        <f t="shared" si="2"/>
        <v>11</v>
      </c>
      <c r="J16" s="69">
        <f t="shared" si="3"/>
        <v>10</v>
      </c>
      <c r="K16" s="71">
        <f t="shared" si="4"/>
        <v>0.1</v>
      </c>
      <c r="L16" s="12"/>
      <c r="M16" s="12"/>
      <c r="N16" s="12"/>
      <c r="O16" s="12"/>
      <c r="P16" s="12"/>
      <c r="Q16" s="12"/>
      <c r="R16" s="12"/>
      <c r="S16" s="12"/>
      <c r="T16" s="12"/>
      <c r="U16" s="12"/>
      <c r="V16" s="12"/>
    </row>
    <row r="17">
      <c r="A17" s="12"/>
      <c r="B17" s="25">
        <v>0.5856</v>
      </c>
      <c r="C17" s="12"/>
      <c r="D17" s="12"/>
      <c r="E17" s="12"/>
      <c r="F17" s="12"/>
      <c r="G17" s="71">
        <v>0.7</v>
      </c>
      <c r="H17" s="71">
        <f t="shared" si="1"/>
        <v>0.7999</v>
      </c>
      <c r="I17" s="69">
        <f t="shared" si="2"/>
        <v>10</v>
      </c>
      <c r="J17" s="69">
        <f t="shared" si="3"/>
        <v>10</v>
      </c>
      <c r="K17" s="71">
        <f t="shared" si="4"/>
        <v>0</v>
      </c>
      <c r="L17" s="12"/>
      <c r="M17" s="12"/>
      <c r="N17" s="12"/>
      <c r="O17" s="12"/>
      <c r="P17" s="12"/>
      <c r="Q17" s="12"/>
      <c r="R17" s="12"/>
      <c r="S17" s="12"/>
      <c r="T17" s="12"/>
      <c r="U17" s="12"/>
      <c r="V17" s="12"/>
    </row>
    <row r="18">
      <c r="A18" s="12"/>
      <c r="B18" s="25">
        <v>0.1773</v>
      </c>
      <c r="C18" s="12"/>
      <c r="D18" s="12"/>
      <c r="E18" s="12"/>
      <c r="F18" s="12"/>
      <c r="G18" s="71">
        <v>0.8</v>
      </c>
      <c r="H18" s="71">
        <f t="shared" si="1"/>
        <v>0.8999</v>
      </c>
      <c r="I18" s="69">
        <f t="shared" si="2"/>
        <v>14</v>
      </c>
      <c r="J18" s="69">
        <f t="shared" si="3"/>
        <v>10</v>
      </c>
      <c r="K18" s="71">
        <f t="shared" si="4"/>
        <v>1.6</v>
      </c>
      <c r="L18" s="12"/>
      <c r="M18" s="12"/>
      <c r="N18" s="12"/>
      <c r="O18" s="12"/>
      <c r="P18" s="12"/>
      <c r="Q18" s="12"/>
      <c r="R18" s="12"/>
      <c r="S18" s="12"/>
      <c r="T18" s="12"/>
      <c r="U18" s="12"/>
      <c r="V18" s="12"/>
    </row>
    <row r="19">
      <c r="A19" s="12"/>
      <c r="B19" s="25">
        <v>0.4394</v>
      </c>
      <c r="C19" s="12"/>
      <c r="D19" s="12"/>
      <c r="E19" s="12"/>
      <c r="F19" s="12"/>
      <c r="G19" s="71">
        <v>0.9</v>
      </c>
      <c r="H19" s="71">
        <f t="shared" si="1"/>
        <v>0.9999</v>
      </c>
      <c r="I19" s="69">
        <f t="shared" si="2"/>
        <v>12</v>
      </c>
      <c r="J19" s="69">
        <f t="shared" si="3"/>
        <v>10</v>
      </c>
      <c r="K19" s="71">
        <f t="shared" si="4"/>
        <v>0.4</v>
      </c>
      <c r="L19" s="12"/>
      <c r="M19" s="12"/>
      <c r="N19" s="12"/>
      <c r="O19" s="12"/>
      <c r="P19" s="12"/>
      <c r="Q19" s="12"/>
      <c r="R19" s="12"/>
      <c r="S19" s="12"/>
      <c r="T19" s="12"/>
      <c r="U19" s="12"/>
      <c r="V19" s="12"/>
    </row>
    <row r="20">
      <c r="A20" s="12"/>
      <c r="B20" s="25">
        <v>0.3936</v>
      </c>
      <c r="C20" s="12"/>
      <c r="D20" s="12"/>
      <c r="E20" s="12"/>
      <c r="F20" s="12"/>
      <c r="G20" s="72">
        <v>1.0</v>
      </c>
      <c r="H20" s="12"/>
      <c r="I20" s="12"/>
      <c r="J20" s="12"/>
      <c r="K20" s="73">
        <f>SUM(K10:K19)</f>
        <v>5.6</v>
      </c>
      <c r="L20" s="42" t="s">
        <v>164</v>
      </c>
      <c r="M20" s="12"/>
      <c r="N20" s="12"/>
      <c r="O20" s="12"/>
      <c r="P20" s="12"/>
      <c r="Q20" s="12"/>
      <c r="R20" s="12"/>
      <c r="S20" s="12"/>
      <c r="T20" s="12"/>
      <c r="U20" s="12"/>
      <c r="V20" s="12"/>
    </row>
    <row r="21">
      <c r="A21" s="12"/>
      <c r="B21" s="25">
        <v>0.9552</v>
      </c>
      <c r="C21" s="12"/>
      <c r="D21" s="12"/>
      <c r="E21" s="12"/>
      <c r="F21" s="12"/>
      <c r="G21" s="12"/>
      <c r="H21" s="12"/>
      <c r="I21" s="12"/>
      <c r="J21" s="12"/>
      <c r="K21" s="12"/>
      <c r="L21" s="12"/>
      <c r="M21" s="12"/>
      <c r="N21" s="12"/>
      <c r="O21" s="12"/>
      <c r="P21" s="12"/>
      <c r="Q21" s="12"/>
      <c r="R21" s="12"/>
      <c r="S21" s="12"/>
      <c r="T21" s="12"/>
      <c r="U21" s="12"/>
      <c r="V21" s="12"/>
    </row>
    <row r="22">
      <c r="A22" s="12"/>
      <c r="B22" s="25">
        <v>0.8548</v>
      </c>
      <c r="C22" s="12"/>
      <c r="D22" s="12"/>
      <c r="E22" s="12"/>
      <c r="F22" s="28" t="s">
        <v>165</v>
      </c>
      <c r="G22" s="29">
        <v>0.05</v>
      </c>
      <c r="H22" s="74">
        <v>0.05</v>
      </c>
      <c r="I22" s="12"/>
      <c r="J22" s="12"/>
      <c r="K22" s="12"/>
      <c r="L22" s="12"/>
      <c r="M22" s="12"/>
      <c r="N22" s="12"/>
      <c r="O22" s="12"/>
      <c r="P22" s="12"/>
      <c r="Q22" s="12"/>
      <c r="R22" s="12"/>
      <c r="S22" s="12"/>
      <c r="T22" s="12"/>
      <c r="U22" s="12"/>
      <c r="V22" s="12"/>
    </row>
    <row r="23">
      <c r="A23" s="12"/>
      <c r="B23" s="25">
        <v>0.5095</v>
      </c>
      <c r="C23" s="12"/>
      <c r="D23" s="12"/>
      <c r="E23" s="42" t="s">
        <v>166</v>
      </c>
      <c r="F23" s="56" t="s">
        <v>167</v>
      </c>
      <c r="G23" s="75">
        <f>H6-1</f>
        <v>9</v>
      </c>
      <c r="H23" s="12"/>
      <c r="I23" s="12"/>
      <c r="J23" s="12"/>
      <c r="K23" s="12"/>
      <c r="L23" s="12"/>
      <c r="M23" s="12"/>
      <c r="N23" s="12"/>
      <c r="O23" s="12"/>
      <c r="P23" s="12"/>
      <c r="Q23" s="12"/>
      <c r="R23" s="12"/>
      <c r="S23" s="12"/>
      <c r="T23" s="12"/>
      <c r="U23" s="12"/>
      <c r="V23" s="12"/>
    </row>
    <row r="24">
      <c r="A24" s="12"/>
      <c r="B24" s="25">
        <v>0.1257</v>
      </c>
      <c r="C24" s="12"/>
      <c r="D24" s="12"/>
      <c r="E24" s="12"/>
      <c r="F24" s="51" t="s">
        <v>168</v>
      </c>
      <c r="G24" s="76">
        <f>ROUND(H24,3)</f>
        <v>16.919</v>
      </c>
      <c r="H24" s="40">
        <f>_xlfn.CHISQ.INV.RT(H22,G23)</f>
        <v>16.9189776</v>
      </c>
      <c r="I24" s="12"/>
      <c r="J24" s="77" t="s">
        <v>169</v>
      </c>
      <c r="K24" s="12"/>
      <c r="L24" s="12"/>
      <c r="M24" s="12"/>
      <c r="N24" s="12"/>
      <c r="O24" s="12"/>
      <c r="P24" s="12"/>
      <c r="Q24" s="12"/>
      <c r="R24" s="12"/>
      <c r="S24" s="12"/>
      <c r="T24" s="12"/>
      <c r="U24" s="12"/>
      <c r="V24" s="12"/>
    </row>
    <row r="25">
      <c r="A25" s="12"/>
      <c r="B25" s="25">
        <v>0.6922</v>
      </c>
      <c r="C25" s="12"/>
      <c r="D25" s="12"/>
      <c r="E25" s="12"/>
      <c r="F25" s="12"/>
      <c r="G25" s="12"/>
      <c r="H25" s="12"/>
      <c r="I25" s="12"/>
      <c r="J25" s="12"/>
      <c r="K25" s="12"/>
      <c r="L25" s="12"/>
      <c r="M25" s="12"/>
      <c r="N25" s="12"/>
      <c r="O25" s="12"/>
      <c r="P25" s="12"/>
      <c r="Q25" s="12"/>
      <c r="R25" s="12"/>
      <c r="S25" s="12"/>
      <c r="T25" s="12"/>
      <c r="U25" s="12"/>
      <c r="V25" s="12"/>
    </row>
    <row r="26">
      <c r="A26" s="12"/>
      <c r="B26" s="25">
        <v>0.8527</v>
      </c>
      <c r="C26" s="12"/>
      <c r="D26" s="12"/>
      <c r="E26" s="12"/>
      <c r="F26" s="63" t="s">
        <v>170</v>
      </c>
      <c r="P26" s="12"/>
      <c r="Q26" s="12"/>
      <c r="R26" s="12"/>
      <c r="S26" s="12"/>
      <c r="T26" s="12"/>
      <c r="U26" s="12"/>
      <c r="V26" s="12"/>
    </row>
    <row r="27">
      <c r="A27" s="12"/>
      <c r="B27" s="25">
        <v>0.3977</v>
      </c>
      <c r="C27" s="12"/>
      <c r="D27" s="12"/>
      <c r="E27" s="12"/>
      <c r="P27" s="12"/>
      <c r="Q27" s="12"/>
      <c r="R27" s="12"/>
      <c r="S27" s="12"/>
      <c r="T27" s="12"/>
      <c r="U27" s="12"/>
      <c r="V27" s="12"/>
    </row>
    <row r="28">
      <c r="A28" s="12"/>
      <c r="B28" s="25">
        <v>0.1735</v>
      </c>
      <c r="C28" s="12"/>
      <c r="D28" s="12"/>
      <c r="E28" s="12"/>
      <c r="F28" s="12"/>
      <c r="G28" s="12"/>
      <c r="H28" s="12"/>
      <c r="I28" s="12"/>
      <c r="J28" s="12"/>
      <c r="K28" s="12"/>
      <c r="L28" s="12"/>
      <c r="M28" s="12"/>
      <c r="N28" s="12"/>
      <c r="O28" s="12"/>
      <c r="P28" s="12"/>
      <c r="Q28" s="12"/>
      <c r="R28" s="12"/>
      <c r="S28" s="12"/>
      <c r="T28" s="12"/>
      <c r="U28" s="12"/>
      <c r="V28" s="12"/>
    </row>
    <row r="29">
      <c r="A29" s="12"/>
      <c r="B29" s="25">
        <v>0.2371</v>
      </c>
      <c r="C29" s="12"/>
      <c r="D29" s="12"/>
      <c r="E29" s="12"/>
      <c r="F29" s="12"/>
      <c r="G29" s="12"/>
      <c r="H29" s="12"/>
      <c r="I29" s="12"/>
      <c r="J29" s="78"/>
      <c r="K29" s="12"/>
      <c r="L29" s="12"/>
      <c r="M29" s="12"/>
      <c r="N29" s="12"/>
      <c r="O29" s="12"/>
      <c r="P29" s="12"/>
      <c r="Q29" s="12"/>
      <c r="R29" s="12"/>
      <c r="S29" s="12"/>
      <c r="T29" s="12"/>
      <c r="U29" s="12"/>
      <c r="V29" s="12"/>
    </row>
    <row r="30">
      <c r="A30" s="12"/>
      <c r="B30" s="25">
        <v>0.6232</v>
      </c>
      <c r="C30" s="12"/>
      <c r="D30" s="12"/>
      <c r="E30" s="12"/>
      <c r="F30" s="12"/>
      <c r="G30" s="12"/>
      <c r="H30" s="12"/>
      <c r="I30" s="12"/>
      <c r="J30" s="12"/>
      <c r="K30" s="12"/>
      <c r="L30" s="12"/>
      <c r="M30" s="12"/>
      <c r="N30" s="12"/>
      <c r="O30" s="12"/>
      <c r="P30" s="12"/>
      <c r="Q30" s="12"/>
      <c r="R30" s="12"/>
      <c r="S30" s="12"/>
      <c r="T30" s="12"/>
      <c r="U30" s="12"/>
      <c r="V30" s="12"/>
    </row>
    <row r="31">
      <c r="A31" s="12"/>
      <c r="B31" s="25">
        <v>0.1791</v>
      </c>
      <c r="C31" s="12"/>
      <c r="D31" s="12"/>
      <c r="E31" s="12"/>
      <c r="F31" s="12"/>
      <c r="G31" s="12"/>
      <c r="H31" s="12"/>
      <c r="I31" s="12"/>
      <c r="J31" s="12"/>
      <c r="K31" s="12"/>
      <c r="L31" s="12"/>
      <c r="M31" s="12"/>
      <c r="N31" s="12"/>
      <c r="O31" s="12"/>
      <c r="P31" s="12"/>
      <c r="Q31" s="12"/>
      <c r="R31" s="12"/>
      <c r="S31" s="12"/>
      <c r="T31" s="12"/>
      <c r="U31" s="12"/>
      <c r="V31" s="12"/>
    </row>
    <row r="32">
      <c r="A32" s="12"/>
      <c r="B32" s="25">
        <v>0.5352</v>
      </c>
      <c r="C32" s="12"/>
      <c r="D32" s="12"/>
      <c r="E32" s="12"/>
      <c r="F32" s="12"/>
      <c r="G32" s="12"/>
      <c r="H32" s="12"/>
      <c r="I32" s="12"/>
      <c r="J32" s="12"/>
      <c r="K32" s="12"/>
      <c r="L32" s="12"/>
      <c r="M32" s="12"/>
      <c r="N32" s="12"/>
      <c r="O32" s="12"/>
      <c r="P32" s="12"/>
      <c r="Q32" s="12"/>
      <c r="R32" s="12"/>
      <c r="S32" s="12"/>
      <c r="T32" s="12"/>
      <c r="U32" s="12"/>
      <c r="V32" s="12"/>
    </row>
    <row r="33">
      <c r="A33" s="12"/>
      <c r="B33" s="25">
        <v>0.494</v>
      </c>
      <c r="C33" s="12"/>
      <c r="D33" s="12"/>
      <c r="E33" s="12"/>
      <c r="F33" s="12"/>
      <c r="G33" s="12"/>
      <c r="H33" s="12"/>
      <c r="I33" s="12"/>
      <c r="J33" s="12"/>
      <c r="K33" s="12"/>
      <c r="L33" s="12"/>
      <c r="M33" s="12"/>
      <c r="N33" s="12"/>
      <c r="O33" s="12"/>
      <c r="P33" s="12"/>
      <c r="Q33" s="12"/>
      <c r="R33" s="12"/>
      <c r="S33" s="12"/>
      <c r="T33" s="12"/>
      <c r="U33" s="12"/>
      <c r="V33" s="12"/>
    </row>
    <row r="34">
      <c r="A34" s="12"/>
      <c r="B34" s="25">
        <v>0.3005</v>
      </c>
      <c r="C34" s="12"/>
      <c r="D34" s="12"/>
      <c r="E34" s="12"/>
      <c r="F34" s="12"/>
      <c r="G34" s="12"/>
      <c r="H34" s="12"/>
      <c r="I34" s="12"/>
      <c r="J34" s="12"/>
      <c r="K34" s="12"/>
      <c r="L34" s="12"/>
      <c r="M34" s="12"/>
      <c r="N34" s="12"/>
      <c r="O34" s="12"/>
      <c r="P34" s="12"/>
      <c r="Q34" s="12"/>
      <c r="R34" s="12"/>
      <c r="S34" s="12"/>
      <c r="T34" s="12"/>
      <c r="U34" s="12"/>
      <c r="V34" s="12"/>
    </row>
    <row r="35">
      <c r="A35" s="12"/>
      <c r="B35" s="25">
        <v>0.9986</v>
      </c>
      <c r="C35" s="12"/>
      <c r="D35" s="12"/>
      <c r="E35" s="12"/>
      <c r="F35" s="12"/>
      <c r="G35" s="12"/>
      <c r="H35" s="12"/>
      <c r="I35" s="12"/>
      <c r="J35" s="12"/>
      <c r="K35" s="12"/>
      <c r="L35" s="12"/>
      <c r="M35" s="12"/>
      <c r="N35" s="12"/>
      <c r="O35" s="12"/>
      <c r="P35" s="12"/>
      <c r="Q35" s="12"/>
      <c r="R35" s="12"/>
      <c r="S35" s="12"/>
      <c r="T35" s="12"/>
      <c r="U35" s="12"/>
      <c r="V35" s="12"/>
    </row>
    <row r="36">
      <c r="A36" s="12"/>
      <c r="B36" s="25">
        <v>0.1654</v>
      </c>
      <c r="C36" s="12"/>
      <c r="D36" s="12"/>
      <c r="E36" s="12"/>
      <c r="F36" s="12"/>
      <c r="G36" s="12"/>
      <c r="H36" s="12"/>
      <c r="I36" s="12"/>
      <c r="J36" s="12"/>
      <c r="K36" s="12"/>
      <c r="L36" s="12"/>
      <c r="M36" s="12"/>
      <c r="N36" s="12"/>
      <c r="O36" s="12"/>
      <c r="P36" s="12"/>
      <c r="Q36" s="12"/>
      <c r="R36" s="12"/>
      <c r="S36" s="12"/>
      <c r="T36" s="12"/>
      <c r="U36" s="12"/>
      <c r="V36" s="12"/>
    </row>
    <row r="37">
      <c r="A37" s="12"/>
      <c r="B37" s="25">
        <v>0.8058</v>
      </c>
      <c r="C37" s="12"/>
      <c r="D37" s="12"/>
      <c r="E37" s="12"/>
      <c r="F37" s="12"/>
      <c r="G37" s="12"/>
      <c r="H37" s="12"/>
      <c r="I37" s="12"/>
      <c r="J37" s="12"/>
      <c r="K37" s="12"/>
      <c r="L37" s="12"/>
      <c r="M37" s="12"/>
      <c r="N37" s="12"/>
      <c r="O37" s="12"/>
      <c r="P37" s="12"/>
      <c r="Q37" s="12"/>
      <c r="R37" s="12"/>
      <c r="S37" s="12"/>
      <c r="T37" s="12"/>
      <c r="U37" s="12"/>
      <c r="V37" s="12"/>
    </row>
    <row r="38">
      <c r="A38" s="12"/>
      <c r="B38" s="25">
        <v>0.9007</v>
      </c>
      <c r="C38" s="12"/>
      <c r="D38" s="12"/>
      <c r="E38" s="12"/>
      <c r="F38" s="12"/>
      <c r="G38" s="12"/>
      <c r="H38" s="12"/>
      <c r="I38" s="12"/>
      <c r="J38" s="12"/>
      <c r="K38" s="12"/>
      <c r="L38" s="12"/>
      <c r="M38" s="12"/>
      <c r="N38" s="12"/>
      <c r="O38" s="12"/>
      <c r="P38" s="12"/>
      <c r="Q38" s="12"/>
      <c r="R38" s="12"/>
      <c r="S38" s="12"/>
      <c r="T38" s="12"/>
      <c r="U38" s="12"/>
      <c r="V38" s="12"/>
    </row>
    <row r="39">
      <c r="A39" s="12"/>
      <c r="B39" s="25">
        <v>0.9532</v>
      </c>
      <c r="C39" s="12"/>
      <c r="D39" s="12"/>
      <c r="E39" s="12"/>
      <c r="F39" s="12"/>
      <c r="G39" s="12"/>
      <c r="H39" s="12"/>
      <c r="I39" s="12"/>
      <c r="J39" s="12"/>
      <c r="K39" s="12"/>
      <c r="L39" s="12"/>
      <c r="M39" s="12"/>
      <c r="N39" s="12"/>
      <c r="O39" s="12"/>
      <c r="P39" s="12"/>
      <c r="Q39" s="12"/>
      <c r="R39" s="12"/>
      <c r="S39" s="12"/>
      <c r="T39" s="12"/>
      <c r="U39" s="12"/>
      <c r="V39" s="12"/>
    </row>
    <row r="40">
      <c r="A40" s="12"/>
      <c r="B40" s="25">
        <v>0.7483</v>
      </c>
      <c r="C40" s="12"/>
      <c r="D40" s="12"/>
      <c r="E40" s="12"/>
      <c r="F40" s="12"/>
      <c r="G40" s="12"/>
      <c r="H40" s="12"/>
      <c r="I40" s="12"/>
      <c r="J40" s="12"/>
      <c r="K40" s="12"/>
      <c r="L40" s="12"/>
      <c r="M40" s="12"/>
      <c r="N40" s="12"/>
      <c r="O40" s="12"/>
      <c r="P40" s="12"/>
      <c r="Q40" s="12"/>
      <c r="R40" s="12"/>
      <c r="S40" s="12"/>
      <c r="T40" s="12"/>
      <c r="U40" s="12"/>
      <c r="V40" s="12"/>
    </row>
    <row r="41">
      <c r="A41" s="12"/>
      <c r="B41" s="25">
        <v>0.8394</v>
      </c>
      <c r="C41" s="12"/>
      <c r="D41" s="12"/>
      <c r="E41" s="12"/>
      <c r="F41" s="12"/>
      <c r="G41" s="12"/>
      <c r="H41" s="12"/>
      <c r="I41" s="12"/>
      <c r="J41" s="12"/>
      <c r="K41" s="12"/>
      <c r="L41" s="12"/>
      <c r="M41" s="12"/>
      <c r="N41" s="12"/>
      <c r="O41" s="12"/>
      <c r="P41" s="12"/>
      <c r="Q41" s="12"/>
      <c r="R41" s="12"/>
      <c r="S41" s="12"/>
      <c r="T41" s="12"/>
      <c r="U41" s="12"/>
      <c r="V41" s="12"/>
    </row>
    <row r="42">
      <c r="A42" s="12"/>
      <c r="B42" s="25">
        <v>0.6896</v>
      </c>
      <c r="C42" s="12"/>
      <c r="D42" s="12"/>
      <c r="E42" s="12"/>
      <c r="F42" s="12"/>
      <c r="G42" s="12"/>
      <c r="H42" s="12"/>
      <c r="I42" s="12"/>
      <c r="J42" s="12"/>
      <c r="K42" s="12"/>
      <c r="L42" s="12"/>
      <c r="M42" s="12"/>
      <c r="N42" s="12"/>
      <c r="O42" s="12"/>
      <c r="P42" s="12"/>
      <c r="Q42" s="12"/>
      <c r="R42" s="12"/>
      <c r="S42" s="12"/>
      <c r="T42" s="12"/>
      <c r="U42" s="12"/>
      <c r="V42" s="12"/>
    </row>
    <row r="43">
      <c r="A43" s="12"/>
      <c r="B43" s="25">
        <v>0.7143</v>
      </c>
      <c r="C43" s="12"/>
      <c r="D43" s="12"/>
      <c r="E43" s="12"/>
      <c r="F43" s="12"/>
      <c r="G43" s="12"/>
      <c r="H43" s="12"/>
      <c r="I43" s="12"/>
      <c r="J43" s="12"/>
      <c r="K43" s="12"/>
      <c r="L43" s="12"/>
      <c r="M43" s="12"/>
      <c r="N43" s="12"/>
      <c r="O43" s="12"/>
      <c r="P43" s="12"/>
      <c r="Q43" s="12"/>
      <c r="R43" s="12"/>
      <c r="S43" s="12"/>
      <c r="T43" s="12"/>
      <c r="U43" s="12"/>
      <c r="V43" s="12"/>
    </row>
    <row r="44">
      <c r="A44" s="12"/>
      <c r="B44" s="25">
        <v>0.0293</v>
      </c>
      <c r="C44" s="12"/>
      <c r="D44" s="12"/>
      <c r="E44" s="12"/>
      <c r="F44" s="12"/>
      <c r="G44" s="12"/>
      <c r="H44" s="12"/>
      <c r="I44" s="12"/>
      <c r="J44" s="12"/>
      <c r="K44" s="12"/>
      <c r="L44" s="12"/>
      <c r="M44" s="12"/>
      <c r="N44" s="12"/>
      <c r="O44" s="12"/>
      <c r="P44" s="12"/>
      <c r="Q44" s="12"/>
      <c r="R44" s="12"/>
      <c r="S44" s="12"/>
      <c r="T44" s="12"/>
      <c r="U44" s="12"/>
      <c r="V44" s="12"/>
    </row>
    <row r="45">
      <c r="A45" s="12"/>
      <c r="B45" s="25">
        <v>0.5599</v>
      </c>
      <c r="C45" s="12"/>
      <c r="D45" s="12"/>
      <c r="E45" s="12"/>
      <c r="F45" s="12"/>
      <c r="G45" s="12"/>
      <c r="H45" s="12"/>
      <c r="I45" s="12"/>
      <c r="J45" s="12"/>
      <c r="K45" s="12"/>
      <c r="L45" s="12"/>
      <c r="M45" s="12"/>
      <c r="N45" s="12"/>
      <c r="O45" s="12"/>
      <c r="P45" s="12"/>
      <c r="Q45" s="12"/>
      <c r="R45" s="12"/>
      <c r="S45" s="12"/>
      <c r="T45" s="12"/>
      <c r="U45" s="12"/>
      <c r="V45" s="12"/>
    </row>
    <row r="46">
      <c r="A46" s="12"/>
      <c r="B46" s="25">
        <v>0.809</v>
      </c>
      <c r="C46" s="12"/>
      <c r="D46" s="12"/>
      <c r="E46" s="12"/>
      <c r="F46" s="12"/>
      <c r="G46" s="12"/>
      <c r="H46" s="12"/>
      <c r="I46" s="12"/>
      <c r="J46" s="12"/>
      <c r="K46" s="12"/>
      <c r="L46" s="12"/>
      <c r="M46" s="12"/>
      <c r="N46" s="12"/>
      <c r="O46" s="12"/>
      <c r="P46" s="12"/>
      <c r="Q46" s="12"/>
      <c r="R46" s="12"/>
      <c r="S46" s="12"/>
      <c r="T46" s="12"/>
      <c r="U46" s="12"/>
      <c r="V46" s="12"/>
    </row>
    <row r="47">
      <c r="A47" s="12"/>
      <c r="B47" s="25">
        <v>0.0711</v>
      </c>
      <c r="C47" s="12"/>
      <c r="D47" s="12"/>
      <c r="E47" s="12"/>
      <c r="F47" s="12"/>
      <c r="G47" s="12"/>
      <c r="H47" s="12"/>
      <c r="I47" s="12"/>
      <c r="J47" s="12"/>
      <c r="K47" s="12"/>
      <c r="L47" s="12"/>
      <c r="M47" s="12"/>
      <c r="N47" s="12"/>
      <c r="O47" s="12"/>
      <c r="P47" s="12"/>
      <c r="Q47" s="12"/>
      <c r="R47" s="12"/>
      <c r="S47" s="12"/>
      <c r="T47" s="12"/>
      <c r="U47" s="12"/>
      <c r="V47" s="12"/>
    </row>
    <row r="48">
      <c r="A48" s="12"/>
      <c r="B48" s="25">
        <v>0.7853</v>
      </c>
      <c r="C48" s="12"/>
      <c r="D48" s="12"/>
      <c r="E48" s="12"/>
      <c r="F48" s="12"/>
      <c r="G48" s="12"/>
      <c r="H48" s="12"/>
      <c r="I48" s="12"/>
      <c r="J48" s="12"/>
      <c r="K48" s="12"/>
      <c r="L48" s="12"/>
      <c r="M48" s="12"/>
      <c r="N48" s="12"/>
      <c r="O48" s="12"/>
      <c r="P48" s="12"/>
      <c r="Q48" s="12"/>
      <c r="R48" s="12"/>
      <c r="S48" s="12"/>
      <c r="T48" s="12"/>
      <c r="U48" s="12"/>
      <c r="V48" s="12"/>
    </row>
    <row r="49">
      <c r="A49" s="12"/>
      <c r="B49" s="25">
        <v>0.8093</v>
      </c>
      <c r="C49" s="12"/>
      <c r="D49" s="12"/>
      <c r="E49" s="12"/>
      <c r="F49" s="12"/>
      <c r="G49" s="12"/>
      <c r="H49" s="12"/>
      <c r="I49" s="12"/>
      <c r="J49" s="12"/>
      <c r="K49" s="12"/>
      <c r="L49" s="12"/>
      <c r="M49" s="12"/>
      <c r="N49" s="12"/>
      <c r="O49" s="12"/>
      <c r="P49" s="12"/>
      <c r="Q49" s="12"/>
      <c r="R49" s="12"/>
      <c r="S49" s="12"/>
      <c r="T49" s="12"/>
      <c r="U49" s="12"/>
      <c r="V49" s="12"/>
    </row>
    <row r="50">
      <c r="A50" s="12"/>
      <c r="B50" s="25">
        <v>0.0871</v>
      </c>
      <c r="C50" s="12"/>
      <c r="D50" s="12"/>
      <c r="E50" s="12"/>
      <c r="F50" s="12"/>
      <c r="G50" s="12"/>
      <c r="H50" s="12"/>
      <c r="I50" s="12"/>
      <c r="J50" s="12"/>
      <c r="K50" s="12"/>
      <c r="L50" s="12"/>
      <c r="M50" s="12"/>
      <c r="N50" s="12"/>
      <c r="O50" s="12"/>
      <c r="P50" s="12"/>
      <c r="Q50" s="12"/>
      <c r="R50" s="12"/>
      <c r="S50" s="12"/>
      <c r="T50" s="12"/>
      <c r="U50" s="12"/>
      <c r="V50" s="12"/>
    </row>
    <row r="51">
      <c r="A51" s="12"/>
      <c r="B51" s="25">
        <v>0.6372</v>
      </c>
      <c r="C51" s="12"/>
      <c r="D51" s="12"/>
      <c r="E51" s="12"/>
      <c r="F51" s="12"/>
      <c r="G51" s="12"/>
      <c r="H51" s="12"/>
      <c r="I51" s="12"/>
      <c r="J51" s="12"/>
      <c r="K51" s="12"/>
      <c r="L51" s="12"/>
      <c r="M51" s="12"/>
      <c r="N51" s="12"/>
      <c r="O51" s="12"/>
      <c r="P51" s="12"/>
      <c r="Q51" s="12"/>
      <c r="R51" s="12"/>
      <c r="S51" s="12"/>
      <c r="T51" s="12"/>
      <c r="U51" s="12"/>
      <c r="V51" s="12"/>
    </row>
    <row r="52">
      <c r="A52" s="12"/>
      <c r="B52" s="25">
        <v>0.9245</v>
      </c>
      <c r="C52" s="12"/>
      <c r="D52" s="12"/>
      <c r="E52" s="12"/>
      <c r="F52" s="12"/>
      <c r="G52" s="12"/>
      <c r="H52" s="12"/>
      <c r="I52" s="12"/>
      <c r="J52" s="12"/>
      <c r="K52" s="12"/>
      <c r="L52" s="12"/>
      <c r="M52" s="12"/>
      <c r="N52" s="12"/>
      <c r="O52" s="12"/>
      <c r="P52" s="12"/>
      <c r="Q52" s="12"/>
      <c r="R52" s="12"/>
      <c r="S52" s="12"/>
      <c r="T52" s="12"/>
      <c r="U52" s="12"/>
      <c r="V52" s="12"/>
    </row>
    <row r="53">
      <c r="A53" s="12"/>
      <c r="B53" s="25">
        <v>0.2203</v>
      </c>
      <c r="C53" s="12"/>
      <c r="D53" s="12"/>
      <c r="E53" s="12"/>
      <c r="F53" s="12"/>
      <c r="G53" s="12"/>
      <c r="H53" s="12"/>
      <c r="I53" s="12"/>
      <c r="J53" s="12"/>
      <c r="K53" s="12"/>
      <c r="L53" s="12"/>
      <c r="M53" s="12"/>
      <c r="N53" s="12"/>
      <c r="O53" s="12"/>
      <c r="P53" s="12"/>
      <c r="Q53" s="12"/>
      <c r="R53" s="12"/>
      <c r="S53" s="12"/>
      <c r="T53" s="12"/>
      <c r="U53" s="12"/>
      <c r="V53" s="12"/>
    </row>
    <row r="54">
      <c r="A54" s="12"/>
      <c r="B54" s="25">
        <v>0.7287</v>
      </c>
      <c r="C54" s="12"/>
      <c r="D54" s="12"/>
      <c r="E54" s="12"/>
      <c r="F54" s="12"/>
      <c r="G54" s="12"/>
      <c r="H54" s="12"/>
      <c r="I54" s="12"/>
      <c r="J54" s="12"/>
      <c r="K54" s="12"/>
      <c r="L54" s="12"/>
      <c r="M54" s="12"/>
      <c r="N54" s="12"/>
      <c r="O54" s="12"/>
      <c r="P54" s="12"/>
      <c r="Q54" s="12"/>
      <c r="R54" s="12"/>
      <c r="S54" s="12"/>
      <c r="T54" s="12"/>
      <c r="U54" s="12"/>
      <c r="V54" s="12"/>
    </row>
    <row r="55">
      <c r="A55" s="12"/>
      <c r="B55" s="25">
        <v>0.7959</v>
      </c>
      <c r="C55" s="12"/>
      <c r="D55" s="12"/>
      <c r="E55" s="12"/>
      <c r="F55" s="12"/>
      <c r="G55" s="12"/>
      <c r="H55" s="12"/>
      <c r="I55" s="12"/>
      <c r="J55" s="12"/>
      <c r="K55" s="12"/>
      <c r="L55" s="12"/>
      <c r="M55" s="12"/>
      <c r="N55" s="12"/>
      <c r="O55" s="12"/>
      <c r="P55" s="12"/>
      <c r="Q55" s="12"/>
      <c r="R55" s="12"/>
      <c r="S55" s="12"/>
      <c r="T55" s="12"/>
      <c r="U55" s="12"/>
      <c r="V55" s="12"/>
    </row>
    <row r="56">
      <c r="A56" s="12"/>
      <c r="B56" s="25">
        <v>0.3737</v>
      </c>
      <c r="C56" s="12"/>
      <c r="D56" s="12"/>
      <c r="E56" s="12"/>
      <c r="F56" s="12"/>
      <c r="G56" s="12"/>
      <c r="H56" s="12"/>
      <c r="I56" s="12"/>
      <c r="J56" s="12"/>
      <c r="K56" s="12"/>
      <c r="L56" s="12"/>
      <c r="M56" s="12"/>
      <c r="N56" s="12"/>
      <c r="O56" s="12"/>
      <c r="P56" s="12"/>
      <c r="Q56" s="12"/>
      <c r="R56" s="12"/>
      <c r="S56" s="12"/>
      <c r="T56" s="12"/>
      <c r="U56" s="12"/>
      <c r="V56" s="12"/>
    </row>
    <row r="57">
      <c r="A57" s="12"/>
      <c r="B57" s="25">
        <v>0.8957</v>
      </c>
      <c r="C57" s="12"/>
      <c r="D57" s="12"/>
      <c r="E57" s="12"/>
      <c r="F57" s="12"/>
      <c r="G57" s="12"/>
      <c r="H57" s="12"/>
      <c r="I57" s="12"/>
      <c r="J57" s="12"/>
      <c r="K57" s="12"/>
      <c r="L57" s="12"/>
      <c r="M57" s="12"/>
      <c r="N57" s="12"/>
      <c r="O57" s="12"/>
      <c r="P57" s="12"/>
      <c r="Q57" s="12"/>
      <c r="R57" s="12"/>
      <c r="S57" s="12"/>
      <c r="T57" s="12"/>
      <c r="U57" s="12"/>
      <c r="V57" s="12"/>
    </row>
    <row r="58">
      <c r="A58" s="12"/>
      <c r="B58" s="25">
        <v>0.687</v>
      </c>
      <c r="C58" s="12"/>
      <c r="D58" s="12"/>
      <c r="E58" s="12"/>
      <c r="F58" s="12"/>
      <c r="G58" s="12"/>
      <c r="H58" s="12"/>
      <c r="I58" s="12"/>
      <c r="J58" s="12"/>
      <c r="K58" s="12"/>
      <c r="L58" s="12"/>
      <c r="M58" s="12"/>
      <c r="N58" s="12"/>
      <c r="O58" s="12"/>
      <c r="P58" s="12"/>
      <c r="Q58" s="12"/>
      <c r="R58" s="12"/>
      <c r="S58" s="12"/>
      <c r="T58" s="12"/>
      <c r="U58" s="12"/>
      <c r="V58" s="12"/>
    </row>
    <row r="59">
      <c r="A59" s="12"/>
      <c r="B59" s="25">
        <v>0.5758</v>
      </c>
      <c r="C59" s="12"/>
      <c r="D59" s="12"/>
      <c r="E59" s="12"/>
      <c r="F59" s="12"/>
      <c r="G59" s="12"/>
      <c r="H59" s="12"/>
      <c r="I59" s="12"/>
      <c r="J59" s="12"/>
      <c r="K59" s="12"/>
      <c r="L59" s="12"/>
      <c r="M59" s="12"/>
      <c r="N59" s="12"/>
      <c r="O59" s="12"/>
      <c r="P59" s="12"/>
      <c r="Q59" s="12"/>
      <c r="R59" s="12"/>
      <c r="S59" s="12"/>
      <c r="T59" s="12"/>
      <c r="U59" s="12"/>
      <c r="V59" s="12"/>
    </row>
    <row r="60">
      <c r="A60" s="12"/>
      <c r="B60" s="25">
        <v>0.6555</v>
      </c>
      <c r="C60" s="12"/>
      <c r="D60" s="12"/>
      <c r="E60" s="12"/>
      <c r="F60" s="12"/>
      <c r="G60" s="12"/>
      <c r="H60" s="12"/>
      <c r="I60" s="12"/>
      <c r="J60" s="12"/>
      <c r="K60" s="12"/>
      <c r="L60" s="12"/>
      <c r="M60" s="12"/>
      <c r="N60" s="12"/>
      <c r="O60" s="12"/>
      <c r="P60" s="12"/>
      <c r="Q60" s="12"/>
      <c r="R60" s="12"/>
      <c r="S60" s="12"/>
      <c r="T60" s="12"/>
      <c r="U60" s="12"/>
      <c r="V60" s="12"/>
    </row>
    <row r="61">
      <c r="A61" s="12"/>
      <c r="B61" s="25">
        <v>0.8988</v>
      </c>
      <c r="C61" s="12"/>
      <c r="D61" s="12"/>
      <c r="E61" s="12"/>
      <c r="F61" s="12"/>
      <c r="G61" s="12"/>
      <c r="H61" s="12"/>
      <c r="I61" s="12"/>
      <c r="J61" s="12"/>
      <c r="K61" s="12"/>
      <c r="L61" s="12"/>
      <c r="M61" s="12"/>
      <c r="N61" s="12"/>
      <c r="O61" s="12"/>
      <c r="P61" s="12"/>
      <c r="Q61" s="12"/>
      <c r="R61" s="12"/>
      <c r="S61" s="12"/>
      <c r="T61" s="12"/>
      <c r="U61" s="12"/>
      <c r="V61" s="12"/>
    </row>
    <row r="62">
      <c r="A62" s="12"/>
      <c r="B62" s="25">
        <v>0.8521</v>
      </c>
      <c r="C62" s="12"/>
      <c r="D62" s="12"/>
      <c r="E62" s="12"/>
      <c r="F62" s="12"/>
      <c r="G62" s="12"/>
      <c r="H62" s="12"/>
      <c r="I62" s="12"/>
      <c r="J62" s="12"/>
      <c r="K62" s="12"/>
      <c r="L62" s="12"/>
      <c r="M62" s="12"/>
      <c r="N62" s="12"/>
      <c r="O62" s="12"/>
      <c r="P62" s="12"/>
      <c r="Q62" s="12"/>
      <c r="R62" s="12"/>
      <c r="S62" s="12"/>
      <c r="T62" s="12"/>
      <c r="U62" s="12"/>
      <c r="V62" s="12"/>
    </row>
    <row r="63">
      <c r="A63" s="12"/>
      <c r="B63" s="25">
        <v>0.3658</v>
      </c>
      <c r="C63" s="12"/>
      <c r="D63" s="12"/>
      <c r="E63" s="12"/>
      <c r="F63" s="12"/>
      <c r="G63" s="12"/>
      <c r="H63" s="12"/>
      <c r="I63" s="12"/>
      <c r="J63" s="12"/>
      <c r="K63" s="12"/>
      <c r="L63" s="12"/>
      <c r="M63" s="12"/>
      <c r="N63" s="12"/>
      <c r="O63" s="12"/>
      <c r="P63" s="12"/>
      <c r="Q63" s="12"/>
      <c r="R63" s="12"/>
      <c r="S63" s="12"/>
      <c r="T63" s="12"/>
      <c r="U63" s="12"/>
      <c r="V63" s="12"/>
    </row>
    <row r="64">
      <c r="A64" s="12"/>
      <c r="B64" s="25">
        <v>0.4751</v>
      </c>
      <c r="C64" s="12"/>
      <c r="D64" s="12"/>
      <c r="E64" s="12"/>
      <c r="F64" s="12"/>
      <c r="G64" s="12"/>
      <c r="H64" s="12"/>
      <c r="I64" s="12"/>
      <c r="J64" s="12"/>
      <c r="K64" s="12"/>
      <c r="L64" s="12"/>
      <c r="M64" s="12"/>
      <c r="N64" s="12"/>
      <c r="O64" s="12"/>
      <c r="P64" s="12"/>
      <c r="Q64" s="12"/>
      <c r="R64" s="12"/>
      <c r="S64" s="12"/>
      <c r="T64" s="12"/>
      <c r="U64" s="12"/>
      <c r="V64" s="12"/>
    </row>
    <row r="65">
      <c r="A65" s="12"/>
      <c r="B65" s="25">
        <v>0.2943</v>
      </c>
      <c r="C65" s="12"/>
      <c r="D65" s="12"/>
      <c r="E65" s="12"/>
      <c r="F65" s="12"/>
      <c r="G65" s="12"/>
      <c r="H65" s="12"/>
      <c r="I65" s="12"/>
      <c r="J65" s="12"/>
      <c r="K65" s="12"/>
      <c r="L65" s="12"/>
      <c r="M65" s="12"/>
      <c r="N65" s="12"/>
      <c r="O65" s="12"/>
      <c r="P65" s="12"/>
      <c r="Q65" s="12"/>
      <c r="R65" s="12"/>
      <c r="S65" s="12"/>
      <c r="T65" s="12"/>
      <c r="U65" s="12"/>
      <c r="V65" s="12"/>
    </row>
    <row r="66">
      <c r="A66" s="12"/>
      <c r="B66" s="25">
        <v>0.6685</v>
      </c>
      <c r="C66" s="12"/>
      <c r="D66" s="12"/>
      <c r="E66" s="12"/>
      <c r="F66" s="12"/>
      <c r="G66" s="12"/>
      <c r="H66" s="12"/>
      <c r="I66" s="12"/>
      <c r="J66" s="12"/>
      <c r="K66" s="12"/>
      <c r="L66" s="12"/>
      <c r="M66" s="12"/>
      <c r="N66" s="12"/>
      <c r="O66" s="12"/>
      <c r="P66" s="12"/>
      <c r="Q66" s="12"/>
      <c r="R66" s="12"/>
      <c r="S66" s="12"/>
      <c r="T66" s="12"/>
      <c r="U66" s="12"/>
      <c r="V66" s="12"/>
    </row>
    <row r="67">
      <c r="A67" s="12"/>
      <c r="B67" s="25">
        <v>0.5909</v>
      </c>
      <c r="C67" s="12"/>
      <c r="D67" s="12"/>
      <c r="E67" s="12"/>
      <c r="F67" s="12"/>
      <c r="G67" s="12"/>
      <c r="H67" s="12"/>
      <c r="I67" s="12"/>
      <c r="J67" s="12"/>
      <c r="K67" s="12"/>
      <c r="L67" s="12"/>
      <c r="M67" s="12"/>
      <c r="N67" s="12"/>
      <c r="O67" s="12"/>
      <c r="P67" s="12"/>
      <c r="Q67" s="12"/>
      <c r="R67" s="12"/>
      <c r="S67" s="12"/>
      <c r="T67" s="12"/>
      <c r="U67" s="12"/>
      <c r="V67" s="12"/>
    </row>
    <row r="68">
      <c r="A68" s="12"/>
      <c r="B68" s="25">
        <v>0.4595</v>
      </c>
      <c r="C68" s="12"/>
      <c r="D68" s="12"/>
      <c r="E68" s="12"/>
      <c r="F68" s="12"/>
      <c r="G68" s="12"/>
      <c r="H68" s="12"/>
      <c r="I68" s="12"/>
      <c r="J68" s="12"/>
      <c r="K68" s="12"/>
      <c r="L68" s="12"/>
      <c r="M68" s="12"/>
      <c r="N68" s="12"/>
      <c r="O68" s="12"/>
      <c r="P68" s="12"/>
      <c r="Q68" s="12"/>
      <c r="R68" s="12"/>
      <c r="S68" s="12"/>
      <c r="T68" s="12"/>
      <c r="U68" s="12"/>
      <c r="V68" s="12"/>
    </row>
    <row r="69">
      <c r="A69" s="12"/>
      <c r="B69" s="25">
        <v>0.4637</v>
      </c>
      <c r="C69" s="12"/>
      <c r="D69" s="12"/>
      <c r="E69" s="12"/>
      <c r="F69" s="12"/>
      <c r="G69" s="12"/>
      <c r="H69" s="12"/>
      <c r="I69" s="12"/>
      <c r="J69" s="12"/>
      <c r="K69" s="12"/>
      <c r="L69" s="12"/>
      <c r="M69" s="12"/>
      <c r="N69" s="12"/>
      <c r="O69" s="12"/>
      <c r="P69" s="12"/>
      <c r="Q69" s="12"/>
      <c r="R69" s="12"/>
      <c r="S69" s="12"/>
      <c r="T69" s="12"/>
      <c r="U69" s="12"/>
      <c r="V69" s="12"/>
    </row>
    <row r="70">
      <c r="A70" s="12"/>
      <c r="B70" s="25">
        <v>0.6873</v>
      </c>
      <c r="C70" s="12"/>
      <c r="D70" s="12"/>
      <c r="E70" s="12"/>
      <c r="F70" s="12"/>
      <c r="G70" s="12"/>
      <c r="H70" s="12"/>
      <c r="I70" s="12"/>
      <c r="J70" s="12"/>
      <c r="K70" s="12"/>
      <c r="L70" s="12"/>
      <c r="M70" s="12"/>
      <c r="N70" s="12"/>
      <c r="O70" s="12"/>
      <c r="P70" s="12"/>
      <c r="Q70" s="12"/>
      <c r="R70" s="12"/>
      <c r="S70" s="12"/>
      <c r="T70" s="12"/>
      <c r="U70" s="12"/>
      <c r="V70" s="12"/>
    </row>
    <row r="71">
      <c r="A71" s="12"/>
      <c r="B71" s="25">
        <v>0.5918</v>
      </c>
      <c r="C71" s="12"/>
      <c r="D71" s="12"/>
      <c r="E71" s="12"/>
      <c r="F71" s="12"/>
      <c r="G71" s="12"/>
      <c r="H71" s="12"/>
      <c r="I71" s="12"/>
      <c r="J71" s="12"/>
      <c r="K71" s="12"/>
      <c r="L71" s="12"/>
      <c r="M71" s="12"/>
      <c r="N71" s="12"/>
      <c r="O71" s="12"/>
      <c r="P71" s="12"/>
      <c r="Q71" s="12"/>
      <c r="R71" s="12"/>
      <c r="S71" s="12"/>
      <c r="T71" s="12"/>
      <c r="U71" s="12"/>
      <c r="V71" s="12"/>
    </row>
    <row r="72">
      <c r="A72" s="12"/>
      <c r="B72" s="25">
        <v>0.5074</v>
      </c>
      <c r="C72" s="12"/>
      <c r="D72" s="12"/>
      <c r="E72" s="12"/>
      <c r="F72" s="12"/>
      <c r="G72" s="12"/>
      <c r="H72" s="12"/>
      <c r="I72" s="12"/>
      <c r="J72" s="12"/>
      <c r="K72" s="12"/>
      <c r="L72" s="12"/>
      <c r="M72" s="12"/>
      <c r="N72" s="12"/>
      <c r="O72" s="12"/>
      <c r="P72" s="12"/>
      <c r="Q72" s="12"/>
      <c r="R72" s="12"/>
      <c r="S72" s="12"/>
      <c r="T72" s="12"/>
      <c r="U72" s="12"/>
      <c r="V72" s="12"/>
    </row>
    <row r="73">
      <c r="A73" s="12"/>
      <c r="B73" s="25">
        <v>0.0139</v>
      </c>
      <c r="C73" s="12"/>
      <c r="D73" s="12"/>
      <c r="E73" s="12"/>
      <c r="F73" s="12"/>
      <c r="G73" s="12"/>
      <c r="H73" s="12"/>
      <c r="I73" s="12"/>
      <c r="J73" s="12"/>
      <c r="K73" s="12"/>
      <c r="L73" s="12"/>
      <c r="M73" s="12"/>
      <c r="N73" s="12"/>
      <c r="O73" s="12"/>
      <c r="P73" s="12"/>
      <c r="Q73" s="12"/>
      <c r="R73" s="12"/>
      <c r="S73" s="12"/>
      <c r="T73" s="12"/>
      <c r="U73" s="12"/>
      <c r="V73" s="12"/>
    </row>
    <row r="74">
      <c r="A74" s="12"/>
      <c r="B74" s="25">
        <v>0.74</v>
      </c>
      <c r="C74" s="12"/>
      <c r="D74" s="12"/>
      <c r="E74" s="12"/>
      <c r="F74" s="12"/>
      <c r="G74" s="12"/>
      <c r="H74" s="12"/>
      <c r="I74" s="12"/>
      <c r="J74" s="12"/>
      <c r="K74" s="12"/>
      <c r="L74" s="12"/>
      <c r="M74" s="12"/>
      <c r="N74" s="12"/>
      <c r="O74" s="12"/>
      <c r="P74" s="12"/>
      <c r="Q74" s="12"/>
      <c r="R74" s="12"/>
      <c r="S74" s="12"/>
      <c r="T74" s="12"/>
      <c r="U74" s="12"/>
      <c r="V74" s="12"/>
    </row>
    <row r="75">
      <c r="A75" s="12"/>
      <c r="B75" s="25">
        <v>0.3976</v>
      </c>
      <c r="C75" s="12"/>
      <c r="D75" s="12"/>
      <c r="E75" s="12"/>
      <c r="F75" s="12"/>
      <c r="G75" s="12"/>
      <c r="H75" s="12"/>
      <c r="I75" s="12"/>
      <c r="J75" s="12"/>
      <c r="K75" s="12"/>
      <c r="L75" s="12"/>
      <c r="M75" s="12"/>
      <c r="N75" s="12"/>
      <c r="O75" s="12"/>
      <c r="P75" s="12"/>
      <c r="Q75" s="12"/>
      <c r="R75" s="12"/>
      <c r="S75" s="12"/>
      <c r="T75" s="12"/>
      <c r="U75" s="12"/>
      <c r="V75" s="12"/>
    </row>
    <row r="76">
      <c r="A76" s="12"/>
      <c r="B76" s="25">
        <v>0.1682</v>
      </c>
      <c r="C76" s="12"/>
      <c r="D76" s="12"/>
      <c r="E76" s="12"/>
      <c r="F76" s="12"/>
      <c r="G76" s="12"/>
      <c r="H76" s="12"/>
      <c r="I76" s="12"/>
      <c r="J76" s="12"/>
      <c r="K76" s="12"/>
      <c r="L76" s="12"/>
      <c r="M76" s="12"/>
      <c r="N76" s="12"/>
      <c r="O76" s="12"/>
      <c r="P76" s="12"/>
      <c r="Q76" s="12"/>
      <c r="R76" s="12"/>
      <c r="S76" s="12"/>
      <c r="T76" s="12"/>
      <c r="U76" s="12"/>
      <c r="V76" s="12"/>
    </row>
    <row r="77">
      <c r="A77" s="12"/>
      <c r="B77" s="25">
        <v>0.9549</v>
      </c>
      <c r="C77" s="12"/>
      <c r="D77" s="12"/>
      <c r="E77" s="12"/>
      <c r="F77" s="12"/>
      <c r="G77" s="12"/>
      <c r="H77" s="12"/>
      <c r="I77" s="12"/>
      <c r="J77" s="12"/>
      <c r="K77" s="12"/>
      <c r="L77" s="12"/>
      <c r="M77" s="12"/>
      <c r="N77" s="12"/>
      <c r="O77" s="12"/>
      <c r="P77" s="12"/>
      <c r="Q77" s="12"/>
      <c r="R77" s="12"/>
      <c r="S77" s="12"/>
      <c r="T77" s="12"/>
      <c r="U77" s="12"/>
      <c r="V77" s="12"/>
    </row>
    <row r="78">
      <c r="A78" s="12"/>
      <c r="B78" s="25">
        <v>0.8388</v>
      </c>
      <c r="C78" s="12"/>
      <c r="D78" s="12"/>
      <c r="E78" s="12"/>
      <c r="F78" s="12"/>
      <c r="G78" s="12"/>
      <c r="H78" s="12"/>
      <c r="I78" s="12"/>
      <c r="J78" s="12"/>
      <c r="K78" s="12"/>
      <c r="L78" s="12"/>
      <c r="M78" s="12"/>
      <c r="N78" s="12"/>
      <c r="O78" s="12"/>
      <c r="P78" s="12"/>
      <c r="Q78" s="12"/>
      <c r="R78" s="12"/>
      <c r="S78" s="12"/>
      <c r="T78" s="12"/>
      <c r="U78" s="12"/>
      <c r="V78" s="12"/>
    </row>
    <row r="79">
      <c r="A79" s="12"/>
      <c r="B79" s="25">
        <v>0.6577</v>
      </c>
      <c r="C79" s="12"/>
      <c r="D79" s="12"/>
      <c r="E79" s="12"/>
      <c r="F79" s="12"/>
      <c r="G79" s="12"/>
      <c r="H79" s="12"/>
      <c r="I79" s="12"/>
      <c r="J79" s="12"/>
      <c r="K79" s="12"/>
      <c r="L79" s="12"/>
      <c r="M79" s="12"/>
      <c r="N79" s="12"/>
      <c r="O79" s="12"/>
      <c r="P79" s="12"/>
      <c r="Q79" s="12"/>
      <c r="R79" s="12"/>
      <c r="S79" s="12"/>
      <c r="T79" s="12"/>
      <c r="U79" s="12"/>
      <c r="V79" s="12"/>
    </row>
    <row r="80">
      <c r="A80" s="12"/>
      <c r="B80" s="25">
        <v>0.0159</v>
      </c>
      <c r="C80" s="12"/>
      <c r="D80" s="12"/>
      <c r="E80" s="12"/>
      <c r="F80" s="12"/>
      <c r="G80" s="12"/>
      <c r="H80" s="12"/>
      <c r="I80" s="12"/>
      <c r="J80" s="12"/>
      <c r="K80" s="12"/>
      <c r="L80" s="12"/>
      <c r="M80" s="12"/>
      <c r="N80" s="12"/>
      <c r="O80" s="12"/>
      <c r="P80" s="12"/>
      <c r="Q80" s="12"/>
      <c r="R80" s="12"/>
      <c r="S80" s="12"/>
      <c r="T80" s="12"/>
      <c r="U80" s="12"/>
      <c r="V80" s="12"/>
    </row>
    <row r="81">
      <c r="A81" s="12"/>
      <c r="B81" s="25">
        <v>0.8465</v>
      </c>
      <c r="C81" s="12"/>
      <c r="D81" s="12"/>
      <c r="E81" s="12"/>
      <c r="F81" s="12"/>
      <c r="G81" s="12"/>
      <c r="H81" s="12"/>
      <c r="I81" s="12"/>
      <c r="J81" s="12"/>
      <c r="K81" s="12"/>
      <c r="L81" s="12"/>
      <c r="M81" s="12"/>
      <c r="N81" s="12"/>
      <c r="O81" s="12"/>
      <c r="P81" s="12"/>
      <c r="Q81" s="12"/>
      <c r="R81" s="12"/>
      <c r="S81" s="12"/>
      <c r="T81" s="12"/>
      <c r="U81" s="12"/>
      <c r="V81" s="12"/>
    </row>
    <row r="82">
      <c r="A82" s="12"/>
      <c r="B82" s="25">
        <v>0.0676</v>
      </c>
      <c r="C82" s="12"/>
      <c r="D82" s="12"/>
      <c r="E82" s="12"/>
      <c r="F82" s="12"/>
      <c r="G82" s="12"/>
      <c r="H82" s="12"/>
      <c r="I82" s="12"/>
      <c r="J82" s="12"/>
      <c r="K82" s="12"/>
      <c r="L82" s="12"/>
      <c r="M82" s="12"/>
      <c r="N82" s="12"/>
      <c r="O82" s="12"/>
      <c r="P82" s="12"/>
      <c r="Q82" s="12"/>
      <c r="R82" s="12"/>
      <c r="S82" s="12"/>
      <c r="T82" s="12"/>
      <c r="U82" s="12"/>
      <c r="V82" s="12"/>
    </row>
    <row r="83">
      <c r="A83" s="12"/>
      <c r="B83" s="25">
        <v>0.599</v>
      </c>
      <c r="C83" s="12"/>
      <c r="D83" s="12"/>
      <c r="E83" s="12"/>
      <c r="F83" s="12"/>
      <c r="G83" s="12"/>
      <c r="H83" s="12"/>
      <c r="I83" s="12"/>
      <c r="J83" s="12"/>
      <c r="K83" s="12"/>
      <c r="L83" s="12"/>
      <c r="M83" s="12"/>
      <c r="N83" s="12"/>
      <c r="O83" s="12"/>
      <c r="P83" s="12"/>
      <c r="Q83" s="12"/>
      <c r="R83" s="12"/>
      <c r="S83" s="12"/>
      <c r="T83" s="12"/>
      <c r="U83" s="12"/>
      <c r="V83" s="12"/>
    </row>
    <row r="84">
      <c r="A84" s="12"/>
      <c r="B84" s="25">
        <v>0.8907</v>
      </c>
      <c r="C84" s="12"/>
      <c r="D84" s="12"/>
      <c r="E84" s="12"/>
      <c r="F84" s="12"/>
      <c r="G84" s="12"/>
      <c r="H84" s="12"/>
      <c r="I84" s="12"/>
      <c r="J84" s="12"/>
      <c r="K84" s="12"/>
      <c r="L84" s="12"/>
      <c r="M84" s="12"/>
      <c r="N84" s="12"/>
      <c r="O84" s="12"/>
      <c r="P84" s="12"/>
      <c r="Q84" s="12"/>
      <c r="R84" s="12"/>
      <c r="S84" s="12"/>
      <c r="T84" s="12"/>
      <c r="U84" s="12"/>
      <c r="V84" s="12"/>
    </row>
    <row r="85">
      <c r="A85" s="12"/>
      <c r="B85" s="25">
        <v>0.4208</v>
      </c>
      <c r="C85" s="12"/>
      <c r="D85" s="12"/>
      <c r="E85" s="12"/>
      <c r="F85" s="12"/>
      <c r="G85" s="12"/>
      <c r="H85" s="12"/>
      <c r="I85" s="12"/>
      <c r="J85" s="12"/>
      <c r="K85" s="12"/>
      <c r="L85" s="12"/>
      <c r="M85" s="12"/>
      <c r="N85" s="12"/>
      <c r="O85" s="12"/>
      <c r="P85" s="12"/>
      <c r="Q85" s="12"/>
      <c r="R85" s="12"/>
      <c r="S85" s="12"/>
      <c r="T85" s="12"/>
      <c r="U85" s="12"/>
      <c r="V85" s="12"/>
    </row>
    <row r="86">
      <c r="A86" s="12"/>
      <c r="B86" s="25">
        <v>0.4033</v>
      </c>
      <c r="C86" s="12"/>
      <c r="D86" s="12"/>
      <c r="E86" s="12"/>
      <c r="F86" s="12"/>
      <c r="G86" s="12"/>
      <c r="H86" s="12"/>
      <c r="I86" s="12"/>
      <c r="J86" s="12"/>
      <c r="K86" s="12"/>
      <c r="L86" s="12"/>
      <c r="M86" s="12"/>
      <c r="N86" s="12"/>
      <c r="O86" s="12"/>
      <c r="P86" s="12"/>
      <c r="Q86" s="12"/>
      <c r="R86" s="12"/>
      <c r="S86" s="12"/>
      <c r="T86" s="12"/>
      <c r="U86" s="12"/>
      <c r="V86" s="12"/>
    </row>
    <row r="87">
      <c r="A87" s="12"/>
      <c r="B87" s="25">
        <v>0.4716</v>
      </c>
      <c r="C87" s="12"/>
      <c r="D87" s="12"/>
      <c r="E87" s="12"/>
      <c r="F87" s="12"/>
      <c r="G87" s="12"/>
      <c r="H87" s="12"/>
      <c r="I87" s="12"/>
      <c r="J87" s="12"/>
      <c r="K87" s="12"/>
      <c r="L87" s="12"/>
      <c r="M87" s="12"/>
      <c r="N87" s="12"/>
      <c r="O87" s="12"/>
      <c r="P87" s="12"/>
      <c r="Q87" s="12"/>
      <c r="R87" s="12"/>
      <c r="S87" s="12"/>
      <c r="T87" s="12"/>
      <c r="U87" s="12"/>
      <c r="V87" s="12"/>
    </row>
    <row r="88">
      <c r="A88" s="12"/>
      <c r="B88" s="25">
        <v>0.1079</v>
      </c>
      <c r="C88" s="12"/>
      <c r="D88" s="12"/>
      <c r="E88" s="12"/>
      <c r="F88" s="12"/>
      <c r="G88" s="12"/>
      <c r="H88" s="12"/>
      <c r="I88" s="12"/>
      <c r="J88" s="12"/>
      <c r="K88" s="12"/>
      <c r="L88" s="12"/>
      <c r="M88" s="12"/>
      <c r="N88" s="12"/>
      <c r="O88" s="12"/>
      <c r="P88" s="12"/>
      <c r="Q88" s="12"/>
      <c r="R88" s="12"/>
      <c r="S88" s="12"/>
      <c r="T88" s="12"/>
      <c r="U88" s="12"/>
      <c r="V88" s="12"/>
    </row>
    <row r="89">
      <c r="A89" s="12"/>
      <c r="B89" s="25">
        <v>0.7445</v>
      </c>
      <c r="C89" s="12"/>
      <c r="D89" s="12"/>
      <c r="E89" s="12"/>
      <c r="F89" s="12"/>
      <c r="G89" s="12"/>
      <c r="H89" s="12"/>
      <c r="I89" s="12"/>
      <c r="J89" s="12"/>
      <c r="K89" s="12"/>
      <c r="L89" s="12"/>
      <c r="M89" s="12"/>
      <c r="N89" s="12"/>
      <c r="O89" s="12"/>
      <c r="P89" s="12"/>
      <c r="Q89" s="12"/>
      <c r="R89" s="12"/>
      <c r="S89" s="12"/>
      <c r="T89" s="12"/>
      <c r="U89" s="12"/>
      <c r="V89" s="12"/>
    </row>
    <row r="90">
      <c r="A90" s="12"/>
      <c r="B90" s="25">
        <v>0.6371</v>
      </c>
      <c r="C90" s="12"/>
      <c r="D90" s="12"/>
      <c r="E90" s="12"/>
      <c r="F90" s="12"/>
      <c r="G90" s="12"/>
      <c r="H90" s="12"/>
      <c r="I90" s="12"/>
      <c r="J90" s="12"/>
      <c r="K90" s="12"/>
      <c r="L90" s="12"/>
      <c r="M90" s="12"/>
      <c r="N90" s="12"/>
      <c r="O90" s="12"/>
      <c r="P90" s="12"/>
      <c r="Q90" s="12"/>
      <c r="R90" s="12"/>
      <c r="S90" s="12"/>
      <c r="T90" s="12"/>
      <c r="U90" s="12"/>
      <c r="V90" s="12"/>
    </row>
    <row r="91">
      <c r="A91" s="12"/>
      <c r="B91" s="25">
        <v>0.9192</v>
      </c>
      <c r="C91" s="12"/>
      <c r="D91" s="12"/>
      <c r="E91" s="12"/>
      <c r="F91" s="12"/>
      <c r="G91" s="12"/>
      <c r="H91" s="12"/>
      <c r="I91" s="12"/>
      <c r="J91" s="12"/>
      <c r="K91" s="12"/>
      <c r="L91" s="12"/>
      <c r="M91" s="12"/>
      <c r="N91" s="12"/>
      <c r="O91" s="12"/>
      <c r="P91" s="12"/>
      <c r="Q91" s="12"/>
      <c r="R91" s="12"/>
      <c r="S91" s="12"/>
      <c r="T91" s="12"/>
      <c r="U91" s="12"/>
      <c r="V91" s="12"/>
    </row>
    <row r="92">
      <c r="A92" s="12"/>
      <c r="B92" s="25">
        <v>0.9382</v>
      </c>
      <c r="C92" s="12"/>
      <c r="D92" s="12"/>
      <c r="E92" s="12"/>
      <c r="F92" s="12"/>
      <c r="G92" s="12"/>
      <c r="H92" s="12"/>
      <c r="I92" s="12"/>
      <c r="J92" s="12"/>
      <c r="K92" s="12"/>
      <c r="L92" s="12"/>
      <c r="M92" s="12"/>
      <c r="N92" s="12"/>
      <c r="O92" s="12"/>
      <c r="P92" s="12"/>
      <c r="Q92" s="12"/>
      <c r="R92" s="12"/>
      <c r="S92" s="12"/>
      <c r="T92" s="12"/>
      <c r="U92" s="12"/>
      <c r="V92" s="12"/>
    </row>
    <row r="93">
      <c r="A93" s="12"/>
      <c r="B93" s="25">
        <v>0.9497</v>
      </c>
      <c r="C93" s="12"/>
      <c r="D93" s="12"/>
      <c r="E93" s="12"/>
      <c r="F93" s="12"/>
      <c r="G93" s="12"/>
      <c r="H93" s="12"/>
      <c r="I93" s="12"/>
      <c r="J93" s="12"/>
      <c r="K93" s="12"/>
      <c r="L93" s="12"/>
      <c r="M93" s="12"/>
      <c r="N93" s="12"/>
      <c r="O93" s="12"/>
      <c r="P93" s="12"/>
      <c r="Q93" s="12"/>
      <c r="R93" s="12"/>
      <c r="S93" s="12"/>
      <c r="T93" s="12"/>
      <c r="U93" s="12"/>
      <c r="V93" s="12"/>
    </row>
    <row r="94">
      <c r="A94" s="12"/>
      <c r="B94" s="25">
        <v>0.562</v>
      </c>
      <c r="C94" s="12"/>
      <c r="D94" s="12"/>
      <c r="E94" s="12"/>
      <c r="F94" s="12"/>
      <c r="G94" s="12"/>
      <c r="H94" s="12"/>
      <c r="I94" s="12"/>
      <c r="J94" s="12"/>
      <c r="K94" s="12"/>
      <c r="L94" s="12"/>
      <c r="M94" s="12"/>
      <c r="N94" s="12"/>
      <c r="O94" s="12"/>
      <c r="P94" s="12"/>
      <c r="Q94" s="12"/>
      <c r="R94" s="12"/>
      <c r="S94" s="12"/>
      <c r="T94" s="12"/>
      <c r="U94" s="12"/>
      <c r="V94" s="12"/>
    </row>
    <row r="95">
      <c r="A95" s="12"/>
      <c r="B95" s="25">
        <v>0.9208</v>
      </c>
      <c r="C95" s="12"/>
      <c r="D95" s="12"/>
      <c r="E95" s="12"/>
      <c r="F95" s="12"/>
      <c r="G95" s="12"/>
      <c r="H95" s="12"/>
      <c r="I95" s="12"/>
      <c r="J95" s="12"/>
      <c r="K95" s="12"/>
      <c r="L95" s="12"/>
      <c r="M95" s="12"/>
      <c r="N95" s="12"/>
      <c r="O95" s="12"/>
      <c r="P95" s="12"/>
      <c r="Q95" s="12"/>
      <c r="R95" s="12"/>
      <c r="S95" s="12"/>
      <c r="T95" s="12"/>
      <c r="U95" s="12"/>
      <c r="V95" s="12"/>
    </row>
    <row r="96">
      <c r="A96" s="12"/>
      <c r="B96" s="25">
        <v>0.0233</v>
      </c>
      <c r="C96" s="12"/>
      <c r="D96" s="12"/>
      <c r="E96" s="12"/>
      <c r="F96" s="12"/>
      <c r="G96" s="12"/>
      <c r="H96" s="12"/>
      <c r="I96" s="12"/>
      <c r="J96" s="12"/>
      <c r="K96" s="12"/>
      <c r="L96" s="12"/>
      <c r="M96" s="12"/>
      <c r="N96" s="12"/>
      <c r="O96" s="12"/>
      <c r="P96" s="12"/>
      <c r="Q96" s="12"/>
      <c r="R96" s="12"/>
      <c r="S96" s="12"/>
      <c r="T96" s="12"/>
      <c r="U96" s="12"/>
      <c r="V96" s="12"/>
    </row>
    <row r="97">
      <c r="A97" s="12"/>
      <c r="B97" s="25">
        <v>0.2404</v>
      </c>
      <c r="C97" s="12"/>
      <c r="D97" s="12"/>
      <c r="E97" s="12"/>
      <c r="F97" s="12"/>
      <c r="G97" s="12"/>
      <c r="H97" s="12"/>
      <c r="I97" s="12"/>
      <c r="J97" s="12"/>
      <c r="K97" s="12"/>
      <c r="L97" s="12"/>
      <c r="M97" s="12"/>
      <c r="N97" s="12"/>
      <c r="O97" s="12"/>
      <c r="P97" s="12"/>
      <c r="Q97" s="12"/>
      <c r="R97" s="12"/>
      <c r="S97" s="12"/>
      <c r="T97" s="12"/>
      <c r="U97" s="12"/>
      <c r="V97" s="12"/>
    </row>
    <row r="98">
      <c r="A98" s="12"/>
      <c r="B98" s="25">
        <v>0.7988</v>
      </c>
      <c r="C98" s="12"/>
      <c r="D98" s="12"/>
      <c r="E98" s="12"/>
      <c r="F98" s="12"/>
      <c r="G98" s="12"/>
      <c r="H98" s="12"/>
      <c r="I98" s="12"/>
      <c r="J98" s="12"/>
      <c r="K98" s="12"/>
      <c r="L98" s="12"/>
      <c r="M98" s="12"/>
      <c r="N98" s="12"/>
      <c r="O98" s="12"/>
      <c r="P98" s="12"/>
      <c r="Q98" s="12"/>
      <c r="R98" s="12"/>
      <c r="S98" s="12"/>
      <c r="T98" s="12"/>
      <c r="U98" s="12"/>
      <c r="V98" s="12"/>
    </row>
    <row r="99">
      <c r="A99" s="12"/>
      <c r="B99" s="25">
        <v>0.5281</v>
      </c>
      <c r="C99" s="12"/>
      <c r="D99" s="12"/>
      <c r="E99" s="12"/>
      <c r="F99" s="12"/>
      <c r="G99" s="12"/>
      <c r="H99" s="12"/>
      <c r="I99" s="12"/>
      <c r="J99" s="12"/>
      <c r="K99" s="12"/>
      <c r="L99" s="12"/>
      <c r="M99" s="12"/>
      <c r="N99" s="12"/>
      <c r="O99" s="12"/>
      <c r="P99" s="12"/>
      <c r="Q99" s="12"/>
      <c r="R99" s="12"/>
      <c r="S99" s="12"/>
      <c r="T99" s="12"/>
      <c r="U99" s="12"/>
      <c r="V99" s="12"/>
    </row>
    <row r="100">
      <c r="A100" s="12"/>
      <c r="B100" s="25">
        <v>0.116</v>
      </c>
      <c r="C100" s="12"/>
      <c r="D100" s="12"/>
      <c r="E100" s="12"/>
      <c r="F100" s="12"/>
      <c r="G100" s="12"/>
      <c r="H100" s="12"/>
      <c r="I100" s="12"/>
      <c r="J100" s="12"/>
      <c r="K100" s="12"/>
      <c r="L100" s="12"/>
      <c r="M100" s="12"/>
      <c r="N100" s="12"/>
      <c r="O100" s="12"/>
      <c r="P100" s="12"/>
      <c r="Q100" s="12"/>
      <c r="R100" s="12"/>
      <c r="S100" s="12"/>
      <c r="T100" s="12"/>
      <c r="U100" s="12"/>
      <c r="V100" s="12"/>
    </row>
    <row r="101">
      <c r="A101" s="12"/>
      <c r="B101" s="25">
        <v>0.1758</v>
      </c>
      <c r="C101" s="12"/>
      <c r="D101" s="12"/>
      <c r="E101" s="12"/>
      <c r="F101" s="12"/>
      <c r="G101" s="12"/>
      <c r="H101" s="12"/>
      <c r="I101" s="12"/>
      <c r="J101" s="12"/>
      <c r="K101" s="12"/>
      <c r="L101" s="12"/>
      <c r="M101" s="12"/>
      <c r="N101" s="12"/>
      <c r="O101" s="12"/>
      <c r="P101" s="12"/>
      <c r="Q101" s="12"/>
      <c r="R101" s="12"/>
      <c r="S101" s="12"/>
      <c r="T101" s="12"/>
      <c r="U101" s="12"/>
      <c r="V101" s="12"/>
    </row>
    <row r="102">
      <c r="A102" s="12"/>
      <c r="B102" s="25">
        <v>0.3595</v>
      </c>
      <c r="C102" s="12"/>
      <c r="D102" s="12"/>
      <c r="E102" s="12"/>
      <c r="F102" s="12"/>
      <c r="G102" s="12"/>
      <c r="H102" s="12"/>
      <c r="I102" s="12"/>
      <c r="J102" s="12"/>
      <c r="K102" s="12"/>
      <c r="L102" s="12"/>
      <c r="M102" s="12"/>
      <c r="N102" s="12"/>
      <c r="O102" s="12"/>
      <c r="P102" s="12"/>
      <c r="Q102" s="12"/>
      <c r="R102" s="12"/>
      <c r="S102" s="12"/>
      <c r="T102" s="12"/>
      <c r="U102" s="12"/>
      <c r="V102" s="12"/>
    </row>
    <row r="103">
      <c r="A103" s="12"/>
      <c r="B103" s="25">
        <v>0.1397</v>
      </c>
      <c r="C103" s="12"/>
      <c r="D103" s="12"/>
      <c r="E103" s="12"/>
      <c r="F103" s="12"/>
      <c r="G103" s="12"/>
      <c r="H103" s="12"/>
      <c r="I103" s="12"/>
      <c r="J103" s="12"/>
      <c r="K103" s="12"/>
      <c r="L103" s="12"/>
      <c r="M103" s="12"/>
      <c r="N103" s="12"/>
      <c r="O103" s="12"/>
      <c r="P103" s="12"/>
      <c r="Q103" s="12"/>
      <c r="R103" s="12"/>
      <c r="S103" s="12"/>
      <c r="T103" s="12"/>
      <c r="U103" s="12"/>
      <c r="V103" s="12"/>
    </row>
  </sheetData>
  <mergeCells count="3">
    <mergeCell ref="A1:V1"/>
    <mergeCell ref="G9:H9"/>
    <mergeCell ref="F26:O2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9" t="s">
        <v>171</v>
      </c>
      <c r="B1" s="24"/>
      <c r="C1" s="24"/>
      <c r="D1" s="24"/>
      <c r="E1" s="24"/>
      <c r="F1" s="24"/>
      <c r="G1" s="24"/>
      <c r="H1" s="24"/>
      <c r="I1" s="24"/>
      <c r="J1" s="24"/>
      <c r="K1" s="24"/>
      <c r="L1" s="24"/>
      <c r="M1" s="24"/>
      <c r="N1" s="24"/>
      <c r="O1" s="24"/>
      <c r="P1" s="24"/>
      <c r="Q1" s="24"/>
      <c r="R1" s="24"/>
      <c r="S1" s="24"/>
      <c r="T1" s="24"/>
      <c r="U1" s="24"/>
      <c r="V1" s="20"/>
    </row>
    <row r="2">
      <c r="A2" s="12"/>
      <c r="B2" s="12"/>
      <c r="C2" s="12"/>
      <c r="D2" s="12"/>
      <c r="E2" s="80"/>
      <c r="F2" s="12"/>
      <c r="G2" s="12"/>
      <c r="H2" s="12"/>
      <c r="I2" s="12"/>
      <c r="J2" s="12"/>
      <c r="K2" s="12"/>
      <c r="L2" s="12"/>
      <c r="M2" s="12"/>
      <c r="N2" s="12"/>
      <c r="O2" s="12"/>
      <c r="P2" s="12"/>
      <c r="Q2" s="12"/>
      <c r="R2" s="12"/>
      <c r="S2" s="12"/>
      <c r="T2" s="12"/>
      <c r="U2" s="12"/>
      <c r="V2" s="12"/>
    </row>
    <row r="3">
      <c r="A3" s="12"/>
      <c r="B3" s="25">
        <v>0.7864</v>
      </c>
      <c r="C3" s="12"/>
      <c r="D3" s="12" t="s">
        <v>172</v>
      </c>
      <c r="E3" s="80"/>
      <c r="F3" s="12"/>
      <c r="G3" s="12"/>
      <c r="H3" s="12"/>
      <c r="I3" s="12"/>
      <c r="J3" s="12"/>
      <c r="K3" s="12"/>
      <c r="L3" s="12"/>
      <c r="M3" s="12"/>
      <c r="N3" s="12"/>
      <c r="O3" s="12"/>
      <c r="P3" s="12"/>
      <c r="Q3" s="12"/>
      <c r="R3" s="12"/>
      <c r="S3" s="12"/>
      <c r="T3" s="12"/>
      <c r="U3" s="12"/>
      <c r="V3" s="12"/>
    </row>
    <row r="4">
      <c r="A4" s="12"/>
      <c r="B4" s="25">
        <v>0.8679</v>
      </c>
      <c r="C4" s="12"/>
      <c r="D4" s="81">
        <f t="shared" ref="D4:D102" si="1">IF(B4&lt;=B3,0,1)</f>
        <v>1</v>
      </c>
      <c r="E4" s="80">
        <v>1.0</v>
      </c>
      <c r="F4" s="82">
        <v>66.0</v>
      </c>
      <c r="G4" s="12"/>
      <c r="H4" s="12"/>
      <c r="I4" s="12"/>
      <c r="J4" s="12"/>
      <c r="K4" s="12"/>
      <c r="L4" s="12"/>
      <c r="M4" s="12"/>
      <c r="N4" s="12"/>
      <c r="O4" s="12"/>
      <c r="P4" s="12"/>
      <c r="Q4" s="12"/>
      <c r="R4" s="12"/>
      <c r="S4" s="12"/>
      <c r="T4" s="12"/>
      <c r="U4" s="12"/>
      <c r="V4" s="12"/>
    </row>
    <row r="5">
      <c r="A5" s="12"/>
      <c r="B5" s="25">
        <v>0.2069</v>
      </c>
      <c r="C5" s="12"/>
      <c r="D5" s="83">
        <f t="shared" si="1"/>
        <v>0</v>
      </c>
      <c r="E5" s="80">
        <v>1.0</v>
      </c>
      <c r="F5" s="12"/>
      <c r="G5" s="12"/>
      <c r="H5" s="12"/>
      <c r="I5" s="12"/>
      <c r="J5" s="12"/>
      <c r="K5" s="12"/>
      <c r="L5" s="12"/>
      <c r="M5" s="12"/>
      <c r="N5" s="12"/>
      <c r="O5" s="12"/>
      <c r="P5" s="12"/>
      <c r="Q5" s="12"/>
      <c r="R5" s="12"/>
      <c r="S5" s="12"/>
      <c r="T5" s="12"/>
      <c r="U5" s="12"/>
      <c r="V5" s="12"/>
    </row>
    <row r="6">
      <c r="A6" s="12"/>
      <c r="B6" s="25">
        <v>0.0153</v>
      </c>
      <c r="C6" s="12"/>
      <c r="D6" s="81">
        <f t="shared" si="1"/>
        <v>0</v>
      </c>
      <c r="E6" s="80"/>
      <c r="F6" s="12"/>
      <c r="G6" s="12"/>
      <c r="H6" s="12"/>
      <c r="I6" s="12"/>
      <c r="J6" s="12"/>
      <c r="K6" s="12"/>
      <c r="L6" s="12"/>
      <c r="M6" s="12"/>
      <c r="N6" s="12"/>
      <c r="O6" s="12"/>
      <c r="P6" s="12"/>
      <c r="Q6" s="12"/>
      <c r="R6" s="12"/>
      <c r="S6" s="12"/>
      <c r="T6" s="12"/>
      <c r="U6" s="12"/>
      <c r="V6" s="12"/>
    </row>
    <row r="7">
      <c r="A7" s="12"/>
      <c r="B7" s="25">
        <v>0.8145</v>
      </c>
      <c r="C7" s="12"/>
      <c r="D7" s="81">
        <f t="shared" si="1"/>
        <v>1</v>
      </c>
      <c r="E7" s="80">
        <v>1.0</v>
      </c>
      <c r="F7" s="12"/>
      <c r="G7" s="12"/>
      <c r="H7" s="12"/>
      <c r="I7" s="12"/>
      <c r="J7" s="12"/>
      <c r="K7" s="12"/>
      <c r="L7" s="12"/>
      <c r="M7" s="12"/>
      <c r="N7" s="12"/>
      <c r="O7" s="12"/>
      <c r="P7" s="12"/>
      <c r="Q7" s="12"/>
      <c r="R7" s="12"/>
      <c r="S7" s="12"/>
      <c r="T7" s="12"/>
      <c r="U7" s="12"/>
      <c r="V7" s="12"/>
    </row>
    <row r="8">
      <c r="A8" s="12"/>
      <c r="B8" s="25">
        <v>0.3639</v>
      </c>
      <c r="C8" s="12"/>
      <c r="D8" s="83">
        <f t="shared" si="1"/>
        <v>0</v>
      </c>
      <c r="E8" s="84">
        <v>1.0</v>
      </c>
      <c r="F8" s="12"/>
      <c r="G8" s="12"/>
      <c r="H8" s="12"/>
      <c r="I8" s="12"/>
      <c r="J8" s="12"/>
      <c r="K8" s="28" t="s">
        <v>173</v>
      </c>
      <c r="L8" s="29">
        <v>0.05</v>
      </c>
      <c r="M8" s="85">
        <v>0.05</v>
      </c>
      <c r="N8" s="37" t="str">
        <f>'Prueba de Medias'!$T$4</f>
        <v/>
      </c>
      <c r="O8" s="86" t="str">
        <f>'Prueba de Medias'!$U$4</f>
        <v/>
      </c>
      <c r="P8" s="12"/>
      <c r="Q8" s="12"/>
      <c r="R8" s="12"/>
      <c r="S8" s="12"/>
      <c r="T8" s="12"/>
      <c r="U8" s="12"/>
      <c r="V8" s="12"/>
    </row>
    <row r="9">
      <c r="A9" s="12"/>
      <c r="B9" s="25">
        <v>0.374</v>
      </c>
      <c r="C9" s="12"/>
      <c r="D9" s="83">
        <f t="shared" si="1"/>
        <v>1</v>
      </c>
      <c r="E9" s="84">
        <v>1.0</v>
      </c>
      <c r="F9" s="12"/>
      <c r="G9" s="12"/>
      <c r="H9" s="12"/>
      <c r="I9" s="12"/>
      <c r="J9" s="12"/>
      <c r="K9" s="28" t="s">
        <v>174</v>
      </c>
      <c r="L9" s="35">
        <f>M8/2</f>
        <v>0.025</v>
      </c>
      <c r="M9" s="12"/>
      <c r="N9" s="12"/>
      <c r="O9" s="12"/>
      <c r="P9" s="12"/>
      <c r="Q9" s="12"/>
      <c r="R9" s="12"/>
      <c r="S9" s="12"/>
      <c r="T9" s="12"/>
      <c r="U9" s="12"/>
      <c r="V9" s="12"/>
    </row>
    <row r="10">
      <c r="A10" s="12"/>
      <c r="B10" s="25">
        <v>0.9117</v>
      </c>
      <c r="C10" s="12"/>
      <c r="D10" s="83">
        <f t="shared" si="1"/>
        <v>1</v>
      </c>
      <c r="E10" s="80"/>
      <c r="F10" s="12"/>
      <c r="G10" s="28" t="s">
        <v>154</v>
      </c>
      <c r="H10" s="53">
        <v>100.0</v>
      </c>
      <c r="I10" s="12"/>
      <c r="J10" s="12"/>
      <c r="K10" s="28" t="s">
        <v>175</v>
      </c>
      <c r="L10" s="87">
        <f>1-L9</f>
        <v>0.975</v>
      </c>
      <c r="M10" s="88" t="s">
        <v>176</v>
      </c>
      <c r="R10" s="12"/>
      <c r="S10" s="12"/>
      <c r="T10" s="12"/>
      <c r="U10" s="12"/>
      <c r="V10" s="12"/>
    </row>
    <row r="11">
      <c r="A11" s="12"/>
      <c r="B11" s="25">
        <v>0.5389</v>
      </c>
      <c r="C11" s="12"/>
      <c r="D11" s="83">
        <f t="shared" si="1"/>
        <v>0</v>
      </c>
      <c r="E11" s="80">
        <v>1.0</v>
      </c>
      <c r="F11" s="12"/>
      <c r="G11" s="89" t="s">
        <v>177</v>
      </c>
      <c r="H11" s="90">
        <f>((2*$H$10)-1)/3</f>
        <v>66.33333333</v>
      </c>
      <c r="I11" s="33"/>
      <c r="J11" s="12"/>
      <c r="K11" s="12"/>
      <c r="L11" s="12"/>
      <c r="R11" s="12"/>
      <c r="S11" s="12"/>
      <c r="T11" s="12"/>
      <c r="U11" s="12"/>
      <c r="V11" s="12"/>
    </row>
    <row r="12">
      <c r="A12" s="12"/>
      <c r="B12" s="25">
        <v>0.691</v>
      </c>
      <c r="C12" s="12"/>
      <c r="D12" s="81">
        <f t="shared" si="1"/>
        <v>1</v>
      </c>
      <c r="E12" s="84">
        <v>1.0</v>
      </c>
      <c r="F12" s="12"/>
      <c r="G12" s="28" t="s">
        <v>178</v>
      </c>
      <c r="H12" s="90">
        <f>((16*$H$10)-29)/90</f>
        <v>17.45555556</v>
      </c>
      <c r="I12" s="12"/>
      <c r="J12" s="12"/>
      <c r="K12" s="51" t="s">
        <v>123</v>
      </c>
      <c r="L12" s="12"/>
      <c r="M12" s="12"/>
      <c r="N12" s="12"/>
      <c r="O12" s="12"/>
      <c r="P12" s="12"/>
      <c r="Q12" s="12"/>
      <c r="R12" s="12"/>
      <c r="S12" s="12"/>
      <c r="T12" s="12"/>
      <c r="U12" s="12"/>
      <c r="V12" s="12"/>
    </row>
    <row r="13">
      <c r="A13" s="12"/>
      <c r="B13" s="25">
        <v>0.7888</v>
      </c>
      <c r="C13" s="12"/>
      <c r="D13" s="81">
        <f t="shared" si="1"/>
        <v>1</v>
      </c>
      <c r="E13" s="80"/>
      <c r="F13" s="12"/>
      <c r="G13" s="28" t="s">
        <v>179</v>
      </c>
      <c r="H13" s="90">
        <f>ABS(($F$4-$H$11)/(SQRT($H$12)))</f>
        <v>0.0797832838</v>
      </c>
      <c r="I13" s="12"/>
      <c r="J13" s="12"/>
      <c r="K13" s="28" t="s">
        <v>180</v>
      </c>
      <c r="L13" s="91" t="s">
        <v>181</v>
      </c>
      <c r="R13" s="12"/>
      <c r="S13" s="12"/>
      <c r="T13" s="12"/>
      <c r="U13" s="12"/>
      <c r="V13" s="12"/>
    </row>
    <row r="14">
      <c r="A14" s="12"/>
      <c r="B14" s="25">
        <v>0.9957</v>
      </c>
      <c r="C14" s="12"/>
      <c r="D14" s="81">
        <f t="shared" si="1"/>
        <v>1</v>
      </c>
      <c r="E14" s="80"/>
      <c r="F14" s="12"/>
      <c r="G14" s="28" t="s">
        <v>182</v>
      </c>
      <c r="H14" s="92">
        <f>NORMSINV(L10)</f>
        <v>1.959963986</v>
      </c>
      <c r="I14" s="12"/>
      <c r="J14" s="12"/>
      <c r="K14" s="12"/>
      <c r="R14" s="12"/>
      <c r="S14" s="12"/>
      <c r="T14" s="12"/>
      <c r="U14" s="12"/>
      <c r="V14" s="12"/>
    </row>
    <row r="15">
      <c r="A15" s="12"/>
      <c r="B15" s="25">
        <v>0.011</v>
      </c>
      <c r="C15" s="12"/>
      <c r="D15" s="83">
        <f t="shared" si="1"/>
        <v>0</v>
      </c>
      <c r="E15" s="80">
        <v>1.0</v>
      </c>
      <c r="F15" s="12"/>
      <c r="G15" s="12"/>
      <c r="H15" s="12"/>
      <c r="I15" s="12"/>
      <c r="J15" s="12"/>
      <c r="K15" s="12"/>
      <c r="L15" s="12"/>
      <c r="M15" s="12"/>
      <c r="N15" s="12"/>
      <c r="O15" s="12"/>
      <c r="P15" s="12"/>
      <c r="Q15" s="12"/>
      <c r="R15" s="12"/>
      <c r="S15" s="12"/>
      <c r="T15" s="12"/>
      <c r="U15" s="12"/>
      <c r="V15" s="12"/>
    </row>
    <row r="16">
      <c r="A16" s="12"/>
      <c r="B16" s="25">
        <v>0.5856</v>
      </c>
      <c r="C16" s="12"/>
      <c r="D16" s="81">
        <f t="shared" si="1"/>
        <v>1</v>
      </c>
      <c r="E16" s="80">
        <v>1.0</v>
      </c>
      <c r="F16" s="12"/>
      <c r="G16" s="63" t="s">
        <v>183</v>
      </c>
      <c r="S16" s="45"/>
      <c r="T16" s="45"/>
      <c r="U16" s="45"/>
      <c r="V16" s="45"/>
    </row>
    <row r="17">
      <c r="A17" s="12"/>
      <c r="B17" s="25">
        <v>0.1773</v>
      </c>
      <c r="C17" s="12"/>
      <c r="D17" s="83">
        <f t="shared" si="1"/>
        <v>0</v>
      </c>
      <c r="E17" s="80">
        <v>1.0</v>
      </c>
      <c r="F17" s="12"/>
      <c r="S17" s="45"/>
      <c r="T17" s="45"/>
      <c r="U17" s="45"/>
      <c r="V17" s="45"/>
    </row>
    <row r="18">
      <c r="A18" s="12"/>
      <c r="B18" s="25">
        <v>0.4394</v>
      </c>
      <c r="C18" s="12"/>
      <c r="D18" s="81">
        <f t="shared" si="1"/>
        <v>1</v>
      </c>
      <c r="E18" s="84">
        <v>1.0</v>
      </c>
      <c r="F18" s="12"/>
      <c r="S18" s="45"/>
      <c r="T18" s="45"/>
      <c r="U18" s="45"/>
      <c r="V18" s="45"/>
    </row>
    <row r="19">
      <c r="A19" s="12"/>
      <c r="B19" s="25">
        <v>0.3936</v>
      </c>
      <c r="C19" s="12"/>
      <c r="D19" s="81">
        <f t="shared" si="1"/>
        <v>0</v>
      </c>
      <c r="E19" s="80">
        <v>1.0</v>
      </c>
      <c r="F19" s="12"/>
      <c r="G19" s="45"/>
      <c r="H19" s="45"/>
      <c r="I19" s="45"/>
      <c r="J19" s="45"/>
      <c r="K19" s="45"/>
      <c r="L19" s="45"/>
      <c r="M19" s="45"/>
      <c r="N19" s="45"/>
      <c r="O19" s="45"/>
      <c r="P19" s="45"/>
      <c r="Q19" s="45"/>
      <c r="R19" s="45"/>
      <c r="S19" s="45"/>
      <c r="T19" s="45"/>
      <c r="U19" s="45"/>
      <c r="V19" s="45"/>
    </row>
    <row r="20">
      <c r="A20" s="12"/>
      <c r="B20" s="25">
        <v>0.9552</v>
      </c>
      <c r="C20" s="12"/>
      <c r="D20" s="83">
        <f t="shared" si="1"/>
        <v>1</v>
      </c>
      <c r="E20" s="84">
        <v>1.0</v>
      </c>
      <c r="F20" s="12"/>
      <c r="G20" s="45"/>
      <c r="H20" s="45"/>
      <c r="I20" s="45"/>
      <c r="J20" s="45"/>
      <c r="K20" s="45"/>
      <c r="L20" s="45"/>
      <c r="M20" s="45"/>
      <c r="N20" s="45"/>
      <c r="O20" s="45"/>
      <c r="P20" s="45"/>
      <c r="Q20" s="45"/>
      <c r="R20" s="45"/>
      <c r="S20" s="45"/>
      <c r="T20" s="45"/>
      <c r="U20" s="45"/>
      <c r="V20" s="45"/>
    </row>
    <row r="21">
      <c r="A21" s="12"/>
      <c r="B21" s="25">
        <v>0.8548</v>
      </c>
      <c r="C21" s="12"/>
      <c r="D21" s="83">
        <f t="shared" si="1"/>
        <v>0</v>
      </c>
      <c r="E21" s="84">
        <v>1.0</v>
      </c>
      <c r="F21" s="12"/>
      <c r="G21" s="12"/>
      <c r="H21" s="12"/>
      <c r="I21" s="12"/>
      <c r="J21" s="12"/>
      <c r="K21" s="12"/>
      <c r="L21" s="12"/>
      <c r="M21" s="12"/>
      <c r="N21" s="12"/>
      <c r="O21" s="12"/>
      <c r="P21" s="12"/>
      <c r="Q21" s="12"/>
      <c r="R21" s="12"/>
      <c r="S21" s="12"/>
      <c r="T21" s="12"/>
      <c r="U21" s="12"/>
      <c r="V21" s="12"/>
    </row>
    <row r="22">
      <c r="A22" s="12"/>
      <c r="B22" s="25">
        <v>0.5095</v>
      </c>
      <c r="C22" s="12"/>
      <c r="D22" s="83">
        <f t="shared" si="1"/>
        <v>0</v>
      </c>
      <c r="E22" s="80"/>
      <c r="F22" s="12"/>
      <c r="G22" s="12"/>
      <c r="H22" s="12"/>
      <c r="I22" s="12"/>
      <c r="J22" s="12"/>
      <c r="K22" s="12"/>
      <c r="L22" s="12"/>
      <c r="M22" s="12"/>
      <c r="N22" s="12"/>
      <c r="O22" s="12"/>
      <c r="P22" s="12"/>
      <c r="Q22" s="12"/>
      <c r="R22" s="12"/>
      <c r="S22" s="12"/>
      <c r="T22" s="12"/>
      <c r="U22" s="12"/>
      <c r="V22" s="12"/>
    </row>
    <row r="23">
      <c r="A23" s="12"/>
      <c r="B23" s="25">
        <v>0.1257</v>
      </c>
      <c r="C23" s="12"/>
      <c r="D23" s="81">
        <f t="shared" si="1"/>
        <v>0</v>
      </c>
      <c r="E23" s="80"/>
      <c r="F23" s="12"/>
      <c r="G23" s="12"/>
      <c r="H23" s="12"/>
      <c r="I23" s="12"/>
      <c r="J23" s="12"/>
      <c r="K23" s="12"/>
      <c r="L23" s="12"/>
      <c r="M23" s="12"/>
      <c r="N23" s="12"/>
      <c r="O23" s="12"/>
      <c r="P23" s="12"/>
      <c r="Q23" s="12"/>
      <c r="R23" s="12"/>
      <c r="S23" s="12"/>
      <c r="T23" s="12"/>
      <c r="U23" s="12"/>
      <c r="V23" s="12"/>
    </row>
    <row r="24">
      <c r="A24" s="12"/>
      <c r="B24" s="25">
        <v>0.6922</v>
      </c>
      <c r="C24" s="12"/>
      <c r="D24" s="83">
        <f t="shared" si="1"/>
        <v>1</v>
      </c>
      <c r="E24" s="80">
        <v>1.0</v>
      </c>
      <c r="F24" s="12"/>
      <c r="G24" s="12"/>
      <c r="H24" s="12"/>
      <c r="I24" s="12"/>
      <c r="J24" s="12"/>
      <c r="K24" s="12"/>
      <c r="L24" s="12"/>
      <c r="M24" s="12"/>
      <c r="N24" s="12"/>
      <c r="O24" s="12"/>
      <c r="P24" s="12"/>
      <c r="Q24" s="12"/>
      <c r="R24" s="12"/>
      <c r="S24" s="12"/>
      <c r="T24" s="12"/>
      <c r="U24" s="12"/>
      <c r="V24" s="12"/>
    </row>
    <row r="25">
      <c r="A25" s="12"/>
      <c r="B25" s="25">
        <v>0.8527</v>
      </c>
      <c r="C25" s="12"/>
      <c r="D25" s="81">
        <f t="shared" si="1"/>
        <v>1</v>
      </c>
      <c r="E25" s="80"/>
      <c r="F25" s="12"/>
      <c r="G25" s="12"/>
      <c r="H25" s="12"/>
      <c r="I25" s="12"/>
      <c r="J25" s="12"/>
      <c r="K25" s="12"/>
      <c r="L25" s="12"/>
      <c r="M25" s="12"/>
      <c r="N25" s="12"/>
      <c r="O25" s="12"/>
      <c r="P25" s="12"/>
      <c r="Q25" s="12"/>
      <c r="R25" s="12"/>
      <c r="S25" s="12"/>
      <c r="T25" s="12"/>
      <c r="U25" s="12"/>
      <c r="V25" s="12"/>
    </row>
    <row r="26">
      <c r="A26" s="12"/>
      <c r="B26" s="25">
        <v>0.3977</v>
      </c>
      <c r="C26" s="12"/>
      <c r="D26" s="83">
        <f t="shared" si="1"/>
        <v>0</v>
      </c>
      <c r="E26" s="80">
        <v>1.0</v>
      </c>
      <c r="F26" s="12"/>
      <c r="G26" s="12"/>
      <c r="H26" s="12"/>
      <c r="I26" s="12"/>
      <c r="J26" s="12"/>
      <c r="K26" s="12"/>
      <c r="L26" s="12"/>
      <c r="M26" s="12"/>
      <c r="N26" s="12"/>
      <c r="O26" s="12"/>
      <c r="P26" s="12"/>
      <c r="Q26" s="12"/>
      <c r="R26" s="12"/>
      <c r="S26" s="12"/>
      <c r="T26" s="12"/>
      <c r="U26" s="12"/>
      <c r="V26" s="12"/>
    </row>
    <row r="27">
      <c r="A27" s="12"/>
      <c r="B27" s="25">
        <v>0.1735</v>
      </c>
      <c r="C27" s="12"/>
      <c r="D27" s="81">
        <f t="shared" si="1"/>
        <v>0</v>
      </c>
      <c r="E27" s="80"/>
      <c r="F27" s="12"/>
      <c r="G27" s="12"/>
      <c r="H27" s="12"/>
      <c r="I27" s="12"/>
      <c r="J27" s="12"/>
      <c r="K27" s="12"/>
      <c r="L27" s="12"/>
      <c r="M27" s="12"/>
      <c r="N27" s="12"/>
      <c r="O27" s="12"/>
      <c r="P27" s="12"/>
      <c r="Q27" s="12"/>
      <c r="R27" s="12"/>
      <c r="S27" s="12"/>
      <c r="T27" s="12"/>
      <c r="U27" s="12"/>
      <c r="V27" s="12"/>
    </row>
    <row r="28">
      <c r="A28" s="12"/>
      <c r="B28" s="25">
        <v>0.2371</v>
      </c>
      <c r="C28" s="12"/>
      <c r="D28" s="83">
        <f t="shared" si="1"/>
        <v>1</v>
      </c>
      <c r="E28" s="84">
        <v>1.0</v>
      </c>
      <c r="F28" s="12"/>
      <c r="G28" s="12"/>
      <c r="H28" s="12"/>
      <c r="I28" s="12"/>
      <c r="J28" s="12"/>
      <c r="K28" s="12"/>
      <c r="L28" s="12"/>
      <c r="M28" s="12"/>
      <c r="N28" s="12"/>
      <c r="O28" s="12"/>
      <c r="P28" s="12"/>
      <c r="Q28" s="12"/>
      <c r="R28" s="12"/>
      <c r="S28" s="12"/>
      <c r="T28" s="12"/>
      <c r="U28" s="12"/>
      <c r="V28" s="12"/>
    </row>
    <row r="29">
      <c r="A29" s="12"/>
      <c r="B29" s="25">
        <v>0.6232</v>
      </c>
      <c r="C29" s="12"/>
      <c r="D29" s="83">
        <f t="shared" si="1"/>
        <v>1</v>
      </c>
      <c r="E29" s="80"/>
      <c r="F29" s="12"/>
      <c r="G29" s="12"/>
      <c r="H29" s="12"/>
      <c r="I29" s="12"/>
      <c r="J29" s="12"/>
      <c r="K29" s="12"/>
      <c r="L29" s="12"/>
      <c r="M29" s="12"/>
      <c r="N29" s="12"/>
      <c r="O29" s="12"/>
      <c r="P29" s="12"/>
      <c r="Q29" s="12"/>
      <c r="R29" s="12"/>
      <c r="S29" s="12"/>
      <c r="T29" s="12"/>
      <c r="U29" s="12"/>
      <c r="V29" s="12"/>
    </row>
    <row r="30">
      <c r="A30" s="12"/>
      <c r="B30" s="25">
        <v>0.1791</v>
      </c>
      <c r="C30" s="12"/>
      <c r="D30" s="83">
        <f t="shared" si="1"/>
        <v>0</v>
      </c>
      <c r="E30" s="80">
        <v>1.0</v>
      </c>
      <c r="F30" s="12"/>
      <c r="G30" s="12"/>
      <c r="H30" s="12"/>
      <c r="I30" s="12"/>
      <c r="J30" s="12"/>
      <c r="K30" s="12"/>
      <c r="L30" s="12"/>
      <c r="M30" s="12"/>
      <c r="N30" s="12"/>
      <c r="O30" s="12"/>
      <c r="P30" s="12"/>
      <c r="Q30" s="12"/>
      <c r="R30" s="12"/>
      <c r="S30" s="12"/>
      <c r="T30" s="12"/>
      <c r="U30" s="12"/>
      <c r="V30" s="12"/>
    </row>
    <row r="31">
      <c r="A31" s="12"/>
      <c r="B31" s="25">
        <v>0.5352</v>
      </c>
      <c r="C31" s="12"/>
      <c r="D31" s="81">
        <f t="shared" si="1"/>
        <v>1</v>
      </c>
      <c r="E31" s="84">
        <v>1.0</v>
      </c>
      <c r="F31" s="12"/>
      <c r="G31" s="12"/>
      <c r="H31" s="12"/>
      <c r="I31" s="12"/>
      <c r="J31" s="12"/>
      <c r="K31" s="12"/>
      <c r="L31" s="12"/>
      <c r="M31" s="12"/>
      <c r="N31" s="12"/>
      <c r="O31" s="12"/>
      <c r="P31" s="12"/>
      <c r="Q31" s="12"/>
      <c r="R31" s="12"/>
      <c r="S31" s="12"/>
      <c r="T31" s="12"/>
      <c r="U31" s="12"/>
      <c r="V31" s="12"/>
    </row>
    <row r="32">
      <c r="A32" s="12"/>
      <c r="B32" s="25">
        <v>0.494</v>
      </c>
      <c r="C32" s="12"/>
      <c r="D32" s="81">
        <f t="shared" si="1"/>
        <v>0</v>
      </c>
      <c r="E32" s="80">
        <v>1.0</v>
      </c>
      <c r="F32" s="12"/>
      <c r="G32" s="12"/>
      <c r="H32" s="12"/>
      <c r="I32" s="12"/>
      <c r="J32" s="12"/>
      <c r="K32" s="12"/>
      <c r="L32" s="12"/>
      <c r="M32" s="12"/>
      <c r="N32" s="12"/>
      <c r="O32" s="12"/>
      <c r="P32" s="12"/>
      <c r="Q32" s="12"/>
      <c r="R32" s="12"/>
      <c r="S32" s="12"/>
      <c r="T32" s="12"/>
      <c r="U32" s="12"/>
      <c r="V32" s="12"/>
    </row>
    <row r="33">
      <c r="A33" s="12"/>
      <c r="B33" s="25">
        <v>0.3005</v>
      </c>
      <c r="C33" s="12"/>
      <c r="D33" s="83">
        <f t="shared" si="1"/>
        <v>0</v>
      </c>
      <c r="E33" s="80"/>
      <c r="F33" s="12"/>
      <c r="G33" s="12"/>
      <c r="H33" s="12"/>
      <c r="I33" s="12"/>
      <c r="J33" s="12"/>
      <c r="K33" s="12"/>
      <c r="L33" s="12"/>
      <c r="M33" s="12"/>
      <c r="N33" s="12"/>
      <c r="O33" s="12"/>
      <c r="P33" s="12"/>
      <c r="Q33" s="12"/>
      <c r="R33" s="12"/>
      <c r="S33" s="12"/>
      <c r="T33" s="12"/>
      <c r="U33" s="12"/>
      <c r="V33" s="12"/>
    </row>
    <row r="34">
      <c r="A34" s="12"/>
      <c r="B34" s="25">
        <v>0.9986</v>
      </c>
      <c r="C34" s="12"/>
      <c r="D34" s="83">
        <f t="shared" si="1"/>
        <v>1</v>
      </c>
      <c r="E34" s="80">
        <v>1.0</v>
      </c>
      <c r="F34" s="12"/>
      <c r="G34" s="12"/>
      <c r="H34" s="12"/>
      <c r="I34" s="12"/>
      <c r="J34" s="12"/>
      <c r="K34" s="12"/>
      <c r="L34" s="12"/>
      <c r="M34" s="12"/>
      <c r="N34" s="12"/>
      <c r="O34" s="12"/>
      <c r="P34" s="12"/>
      <c r="Q34" s="12"/>
      <c r="R34" s="12"/>
      <c r="S34" s="12"/>
      <c r="T34" s="12"/>
      <c r="U34" s="12"/>
      <c r="V34" s="12"/>
    </row>
    <row r="35">
      <c r="A35" s="12"/>
      <c r="B35" s="25">
        <v>0.1654</v>
      </c>
      <c r="C35" s="12"/>
      <c r="D35" s="81">
        <f t="shared" si="1"/>
        <v>0</v>
      </c>
      <c r="E35" s="80">
        <v>1.0</v>
      </c>
      <c r="F35" s="12"/>
      <c r="G35" s="12"/>
      <c r="H35" s="12"/>
      <c r="I35" s="12"/>
      <c r="J35" s="12"/>
      <c r="K35" s="12"/>
      <c r="L35" s="12"/>
      <c r="M35" s="12"/>
      <c r="N35" s="12"/>
      <c r="O35" s="12"/>
      <c r="P35" s="12"/>
      <c r="Q35" s="12"/>
      <c r="R35" s="12"/>
      <c r="S35" s="12"/>
      <c r="T35" s="12"/>
      <c r="U35" s="12"/>
      <c r="V35" s="12"/>
    </row>
    <row r="36">
      <c r="A36" s="12"/>
      <c r="B36" s="25">
        <v>0.8058</v>
      </c>
      <c r="C36" s="12"/>
      <c r="D36" s="83">
        <f t="shared" si="1"/>
        <v>1</v>
      </c>
      <c r="E36" s="84">
        <v>1.0</v>
      </c>
      <c r="F36" s="12"/>
      <c r="G36" s="12"/>
      <c r="H36" s="12"/>
      <c r="I36" s="12"/>
      <c r="J36" s="12"/>
      <c r="K36" s="12"/>
      <c r="L36" s="12"/>
      <c r="M36" s="12"/>
      <c r="N36" s="12"/>
      <c r="O36" s="12"/>
      <c r="P36" s="12"/>
      <c r="Q36" s="12"/>
      <c r="R36" s="12"/>
      <c r="S36" s="12"/>
      <c r="T36" s="12"/>
      <c r="U36" s="12"/>
      <c r="V36" s="12"/>
    </row>
    <row r="37">
      <c r="A37" s="12"/>
      <c r="B37" s="25">
        <v>0.9007</v>
      </c>
      <c r="C37" s="12"/>
      <c r="D37" s="83">
        <f t="shared" si="1"/>
        <v>1</v>
      </c>
      <c r="E37" s="80"/>
      <c r="F37" s="12"/>
      <c r="G37" s="12"/>
      <c r="H37" s="12"/>
      <c r="I37" s="12"/>
      <c r="J37" s="12"/>
      <c r="K37" s="12"/>
      <c r="L37" s="12"/>
      <c r="M37" s="12"/>
      <c r="N37" s="12"/>
      <c r="O37" s="12"/>
      <c r="P37" s="12"/>
      <c r="Q37" s="12"/>
      <c r="R37" s="12"/>
      <c r="S37" s="12"/>
      <c r="T37" s="12"/>
      <c r="U37" s="12"/>
      <c r="V37" s="12"/>
    </row>
    <row r="38">
      <c r="A38" s="12"/>
      <c r="B38" s="25">
        <v>0.9532</v>
      </c>
      <c r="C38" s="12"/>
      <c r="D38" s="81">
        <f t="shared" si="1"/>
        <v>1</v>
      </c>
      <c r="E38" s="80"/>
      <c r="F38" s="12"/>
      <c r="G38" s="12"/>
      <c r="H38" s="12"/>
      <c r="I38" s="12"/>
      <c r="J38" s="12"/>
      <c r="K38" s="12"/>
      <c r="L38" s="12"/>
      <c r="M38" s="12"/>
      <c r="N38" s="12"/>
      <c r="O38" s="12"/>
      <c r="P38" s="12"/>
      <c r="Q38" s="12"/>
      <c r="R38" s="12"/>
      <c r="S38" s="12"/>
      <c r="T38" s="12"/>
      <c r="U38" s="12"/>
      <c r="V38" s="12"/>
    </row>
    <row r="39">
      <c r="A39" s="12"/>
      <c r="B39" s="25">
        <v>0.7483</v>
      </c>
      <c r="C39" s="12"/>
      <c r="D39" s="81">
        <f t="shared" si="1"/>
        <v>0</v>
      </c>
      <c r="E39" s="80">
        <v>1.0</v>
      </c>
      <c r="F39" s="12"/>
      <c r="G39" s="12"/>
      <c r="H39" s="12"/>
      <c r="I39" s="12"/>
      <c r="J39" s="12"/>
      <c r="K39" s="12"/>
      <c r="L39" s="12"/>
      <c r="M39" s="12"/>
      <c r="N39" s="12"/>
      <c r="O39" s="12"/>
      <c r="P39" s="12"/>
      <c r="Q39" s="12"/>
      <c r="R39" s="12"/>
      <c r="S39" s="12"/>
      <c r="T39" s="12"/>
      <c r="U39" s="12"/>
      <c r="V39" s="12"/>
    </row>
    <row r="40">
      <c r="A40" s="12"/>
      <c r="B40" s="25">
        <v>0.8394</v>
      </c>
      <c r="C40" s="12"/>
      <c r="D40" s="83">
        <f t="shared" si="1"/>
        <v>1</v>
      </c>
      <c r="E40" s="80">
        <v>1.0</v>
      </c>
      <c r="F40" s="12"/>
      <c r="G40" s="12"/>
      <c r="H40" s="12"/>
      <c r="I40" s="12"/>
      <c r="J40" s="12"/>
      <c r="K40" s="12"/>
      <c r="L40" s="12"/>
      <c r="M40" s="12"/>
      <c r="N40" s="12"/>
      <c r="O40" s="12"/>
      <c r="P40" s="12"/>
      <c r="Q40" s="12"/>
      <c r="R40" s="12"/>
      <c r="S40" s="12"/>
      <c r="T40" s="12"/>
      <c r="U40" s="12"/>
      <c r="V40" s="12"/>
    </row>
    <row r="41">
      <c r="A41" s="12"/>
      <c r="B41" s="25">
        <v>0.6896</v>
      </c>
      <c r="C41" s="12"/>
      <c r="D41" s="81">
        <f t="shared" si="1"/>
        <v>0</v>
      </c>
      <c r="E41" s="80">
        <v>1.0</v>
      </c>
      <c r="F41" s="12"/>
      <c r="G41" s="12"/>
      <c r="H41" s="12"/>
      <c r="I41" s="12"/>
      <c r="J41" s="12"/>
      <c r="K41" s="12"/>
      <c r="L41" s="12"/>
      <c r="M41" s="12"/>
      <c r="N41" s="12"/>
      <c r="O41" s="12"/>
      <c r="P41" s="12"/>
      <c r="Q41" s="12"/>
      <c r="R41" s="12"/>
      <c r="S41" s="12"/>
      <c r="T41" s="12"/>
      <c r="U41" s="12"/>
      <c r="V41" s="12"/>
    </row>
    <row r="42">
      <c r="A42" s="12"/>
      <c r="B42" s="25">
        <v>0.7143</v>
      </c>
      <c r="C42" s="12"/>
      <c r="D42" s="83">
        <f t="shared" si="1"/>
        <v>1</v>
      </c>
      <c r="E42" s="84">
        <v>1.0</v>
      </c>
      <c r="F42" s="12"/>
      <c r="G42" s="12"/>
      <c r="H42" s="12"/>
      <c r="I42" s="12"/>
      <c r="J42" s="12"/>
      <c r="K42" s="12"/>
      <c r="L42" s="12"/>
      <c r="M42" s="12"/>
      <c r="N42" s="12"/>
      <c r="O42" s="12"/>
      <c r="P42" s="12"/>
      <c r="Q42" s="12"/>
      <c r="R42" s="12"/>
      <c r="S42" s="12"/>
      <c r="T42" s="12"/>
      <c r="U42" s="12"/>
      <c r="V42" s="12"/>
    </row>
    <row r="43">
      <c r="A43" s="12"/>
      <c r="B43" s="25">
        <v>0.0293</v>
      </c>
      <c r="C43" s="12"/>
      <c r="D43" s="83">
        <f t="shared" si="1"/>
        <v>0</v>
      </c>
      <c r="E43" s="80">
        <v>1.0</v>
      </c>
      <c r="F43" s="12"/>
      <c r="G43" s="12"/>
      <c r="H43" s="12"/>
      <c r="I43" s="12"/>
      <c r="J43" s="12"/>
      <c r="K43" s="12"/>
      <c r="L43" s="12"/>
      <c r="M43" s="12"/>
      <c r="N43" s="12"/>
      <c r="O43" s="12"/>
      <c r="P43" s="12"/>
      <c r="Q43" s="12"/>
      <c r="R43" s="12"/>
      <c r="S43" s="12"/>
      <c r="T43" s="12"/>
      <c r="U43" s="12"/>
      <c r="V43" s="12"/>
    </row>
    <row r="44">
      <c r="A44" s="12"/>
      <c r="B44" s="25">
        <v>0.5599</v>
      </c>
      <c r="C44" s="12"/>
      <c r="D44" s="81">
        <f t="shared" si="1"/>
        <v>1</v>
      </c>
      <c r="E44" s="84">
        <v>1.0</v>
      </c>
      <c r="F44" s="12"/>
      <c r="G44" s="12"/>
      <c r="H44" s="12"/>
      <c r="I44" s="12"/>
      <c r="J44" s="12"/>
      <c r="K44" s="12"/>
      <c r="L44" s="12"/>
      <c r="M44" s="12"/>
      <c r="N44" s="12"/>
      <c r="O44" s="12"/>
      <c r="P44" s="12"/>
      <c r="Q44" s="12"/>
      <c r="R44" s="12"/>
      <c r="S44" s="12"/>
      <c r="T44" s="12"/>
      <c r="U44" s="12"/>
      <c r="V44" s="12"/>
    </row>
    <row r="45">
      <c r="A45" s="12"/>
      <c r="B45" s="25">
        <v>0.809</v>
      </c>
      <c r="C45" s="12"/>
      <c r="D45" s="81">
        <f t="shared" si="1"/>
        <v>1</v>
      </c>
      <c r="E45" s="80"/>
      <c r="F45" s="12"/>
      <c r="G45" s="12"/>
      <c r="H45" s="12"/>
      <c r="I45" s="12"/>
      <c r="J45" s="12"/>
      <c r="K45" s="12"/>
      <c r="L45" s="12"/>
      <c r="M45" s="12"/>
      <c r="N45" s="12"/>
      <c r="O45" s="12"/>
      <c r="P45" s="12"/>
      <c r="Q45" s="12"/>
      <c r="R45" s="12"/>
      <c r="S45" s="12"/>
      <c r="T45" s="12"/>
      <c r="U45" s="12"/>
      <c r="V45" s="12"/>
    </row>
    <row r="46">
      <c r="A46" s="12"/>
      <c r="B46" s="25">
        <v>0.0711</v>
      </c>
      <c r="C46" s="12"/>
      <c r="D46" s="81">
        <f t="shared" si="1"/>
        <v>0</v>
      </c>
      <c r="E46" s="80">
        <v>1.0</v>
      </c>
      <c r="F46" s="12"/>
      <c r="G46" s="12"/>
      <c r="H46" s="12"/>
      <c r="I46" s="12"/>
      <c r="J46" s="12"/>
      <c r="K46" s="12"/>
      <c r="L46" s="12"/>
      <c r="M46" s="12"/>
      <c r="N46" s="12"/>
      <c r="O46" s="12"/>
      <c r="P46" s="12"/>
      <c r="Q46" s="12"/>
      <c r="R46" s="12"/>
      <c r="S46" s="12"/>
      <c r="T46" s="12"/>
      <c r="U46" s="12"/>
      <c r="V46" s="12"/>
    </row>
    <row r="47">
      <c r="A47" s="12"/>
      <c r="B47" s="25">
        <v>0.7853</v>
      </c>
      <c r="C47" s="12"/>
      <c r="D47" s="83">
        <f t="shared" si="1"/>
        <v>1</v>
      </c>
      <c r="E47" s="84">
        <v>1.0</v>
      </c>
      <c r="F47" s="12"/>
      <c r="G47" s="12"/>
      <c r="H47" s="12"/>
      <c r="I47" s="12"/>
      <c r="J47" s="12"/>
      <c r="K47" s="12"/>
      <c r="L47" s="12"/>
      <c r="M47" s="12"/>
      <c r="N47" s="12"/>
      <c r="O47" s="12"/>
      <c r="P47" s="12"/>
      <c r="Q47" s="12"/>
      <c r="R47" s="12"/>
      <c r="S47" s="12"/>
      <c r="T47" s="12"/>
      <c r="U47" s="12"/>
      <c r="V47" s="12"/>
    </row>
    <row r="48">
      <c r="A48" s="12"/>
      <c r="B48" s="25">
        <v>0.8093</v>
      </c>
      <c r="C48" s="12"/>
      <c r="D48" s="83">
        <f t="shared" si="1"/>
        <v>1</v>
      </c>
      <c r="E48" s="80"/>
      <c r="F48" s="12"/>
      <c r="G48" s="12"/>
      <c r="H48" s="12"/>
      <c r="I48" s="12"/>
      <c r="J48" s="12"/>
      <c r="K48" s="12"/>
      <c r="L48" s="12"/>
      <c r="M48" s="12"/>
      <c r="N48" s="12"/>
      <c r="O48" s="12"/>
      <c r="P48" s="12"/>
      <c r="Q48" s="12"/>
      <c r="R48" s="12"/>
      <c r="S48" s="12"/>
      <c r="T48" s="12"/>
      <c r="U48" s="12"/>
      <c r="V48" s="12"/>
    </row>
    <row r="49">
      <c r="A49" s="12"/>
      <c r="B49" s="25">
        <v>0.0871</v>
      </c>
      <c r="C49" s="12"/>
      <c r="D49" s="81">
        <f t="shared" si="1"/>
        <v>0</v>
      </c>
      <c r="E49" s="84">
        <v>1.0</v>
      </c>
      <c r="F49" s="12"/>
      <c r="G49" s="12"/>
      <c r="H49" s="12"/>
      <c r="I49" s="12"/>
      <c r="J49" s="12"/>
      <c r="K49" s="12"/>
      <c r="L49" s="12"/>
      <c r="M49" s="12"/>
      <c r="N49" s="12"/>
      <c r="O49" s="12"/>
      <c r="P49" s="12"/>
      <c r="Q49" s="12"/>
      <c r="R49" s="12"/>
      <c r="S49" s="12"/>
      <c r="T49" s="12"/>
      <c r="U49" s="12"/>
      <c r="V49" s="12"/>
    </row>
    <row r="50">
      <c r="A50" s="12"/>
      <c r="B50" s="25">
        <v>0.6372</v>
      </c>
      <c r="C50" s="12"/>
      <c r="D50" s="81">
        <f t="shared" si="1"/>
        <v>1</v>
      </c>
      <c r="E50" s="80">
        <v>1.0</v>
      </c>
      <c r="F50" s="12"/>
      <c r="G50" s="12"/>
      <c r="H50" s="12"/>
      <c r="I50" s="12"/>
      <c r="J50" s="12"/>
      <c r="K50" s="12"/>
      <c r="L50" s="12"/>
      <c r="M50" s="12"/>
      <c r="N50" s="12"/>
      <c r="O50" s="12"/>
      <c r="P50" s="12"/>
      <c r="Q50" s="12"/>
      <c r="R50" s="12"/>
      <c r="S50" s="12"/>
      <c r="T50" s="12"/>
      <c r="U50" s="12"/>
      <c r="V50" s="12"/>
    </row>
    <row r="51">
      <c r="A51" s="12"/>
      <c r="B51" s="25">
        <v>0.9245</v>
      </c>
      <c r="C51" s="12"/>
      <c r="D51" s="83">
        <f t="shared" si="1"/>
        <v>1</v>
      </c>
      <c r="E51" s="80"/>
      <c r="F51" s="12"/>
      <c r="G51" s="12"/>
      <c r="H51" s="12"/>
      <c r="I51" s="12"/>
      <c r="J51" s="12"/>
      <c r="K51" s="12"/>
      <c r="L51" s="12"/>
      <c r="M51" s="12"/>
      <c r="N51" s="12"/>
      <c r="O51" s="12"/>
      <c r="P51" s="12"/>
      <c r="Q51" s="12"/>
      <c r="R51" s="12"/>
      <c r="S51" s="12"/>
      <c r="T51" s="12"/>
      <c r="U51" s="12"/>
      <c r="V51" s="12"/>
    </row>
    <row r="52">
      <c r="A52" s="12"/>
      <c r="B52" s="25">
        <v>0.2203</v>
      </c>
      <c r="C52" s="12"/>
      <c r="D52" s="81">
        <f t="shared" si="1"/>
        <v>0</v>
      </c>
      <c r="E52" s="80">
        <v>1.0</v>
      </c>
      <c r="F52" s="12"/>
      <c r="G52" s="12"/>
      <c r="H52" s="12"/>
      <c r="I52" s="12"/>
      <c r="J52" s="12"/>
      <c r="K52" s="12"/>
      <c r="L52" s="12"/>
      <c r="M52" s="12"/>
      <c r="N52" s="12"/>
      <c r="O52" s="12"/>
      <c r="P52" s="12"/>
      <c r="Q52" s="12"/>
      <c r="R52" s="12"/>
      <c r="S52" s="12"/>
      <c r="T52" s="12"/>
      <c r="U52" s="12"/>
      <c r="V52" s="12"/>
    </row>
    <row r="53">
      <c r="A53" s="12"/>
      <c r="B53" s="25">
        <v>0.7287</v>
      </c>
      <c r="C53" s="12"/>
      <c r="D53" s="83">
        <f t="shared" si="1"/>
        <v>1</v>
      </c>
      <c r="E53" s="80">
        <v>1.0</v>
      </c>
      <c r="F53" s="12"/>
      <c r="G53" s="12"/>
      <c r="H53" s="12"/>
      <c r="I53" s="12"/>
      <c r="J53" s="12"/>
      <c r="K53" s="12"/>
      <c r="L53" s="12"/>
      <c r="M53" s="12"/>
      <c r="N53" s="12"/>
      <c r="O53" s="12"/>
      <c r="P53" s="12"/>
      <c r="Q53" s="12"/>
      <c r="R53" s="12"/>
      <c r="S53" s="12"/>
      <c r="T53" s="12"/>
      <c r="U53" s="12"/>
      <c r="V53" s="12"/>
    </row>
    <row r="54">
      <c r="A54" s="12"/>
      <c r="B54" s="25">
        <v>0.7959</v>
      </c>
      <c r="C54" s="12"/>
      <c r="D54" s="81">
        <f t="shared" si="1"/>
        <v>1</v>
      </c>
      <c r="E54" s="80"/>
      <c r="F54" s="12"/>
      <c r="G54" s="12"/>
      <c r="H54" s="12"/>
      <c r="I54" s="12"/>
      <c r="J54" s="12"/>
      <c r="K54" s="12"/>
      <c r="L54" s="12"/>
      <c r="M54" s="12"/>
      <c r="N54" s="12"/>
      <c r="O54" s="12"/>
      <c r="P54" s="12"/>
      <c r="Q54" s="12"/>
      <c r="R54" s="12"/>
      <c r="S54" s="12"/>
      <c r="T54" s="12"/>
      <c r="U54" s="12"/>
      <c r="V54" s="12"/>
    </row>
    <row r="55">
      <c r="A55" s="12"/>
      <c r="B55" s="25">
        <v>0.3737</v>
      </c>
      <c r="C55" s="12"/>
      <c r="D55" s="81">
        <f t="shared" si="1"/>
        <v>0</v>
      </c>
      <c r="E55" s="84">
        <v>1.0</v>
      </c>
      <c r="F55" s="12"/>
      <c r="G55" s="12"/>
      <c r="H55" s="12"/>
      <c r="I55" s="12"/>
      <c r="J55" s="12"/>
      <c r="K55" s="12"/>
      <c r="L55" s="12"/>
      <c r="M55" s="12"/>
      <c r="N55" s="12"/>
      <c r="O55" s="12"/>
      <c r="P55" s="12"/>
      <c r="Q55" s="12"/>
      <c r="R55" s="12"/>
      <c r="S55" s="12"/>
      <c r="T55" s="12"/>
      <c r="U55" s="12"/>
      <c r="V55" s="12"/>
    </row>
    <row r="56">
      <c r="A56" s="12"/>
      <c r="B56" s="25">
        <v>0.8957</v>
      </c>
      <c r="C56" s="12"/>
      <c r="D56" s="81">
        <f t="shared" si="1"/>
        <v>1</v>
      </c>
      <c r="E56" s="80">
        <v>1.0</v>
      </c>
      <c r="F56" s="12"/>
      <c r="G56" s="12"/>
      <c r="H56" s="12"/>
      <c r="I56" s="12"/>
      <c r="J56" s="12"/>
      <c r="K56" s="12"/>
      <c r="L56" s="12"/>
      <c r="M56" s="12"/>
      <c r="N56" s="12"/>
      <c r="O56" s="12"/>
      <c r="P56" s="12"/>
      <c r="Q56" s="12"/>
      <c r="R56" s="12"/>
      <c r="S56" s="12"/>
      <c r="T56" s="12"/>
      <c r="U56" s="12"/>
      <c r="V56" s="12"/>
    </row>
    <row r="57">
      <c r="A57" s="12"/>
      <c r="B57" s="25">
        <v>0.687</v>
      </c>
      <c r="C57" s="12"/>
      <c r="D57" s="83">
        <f t="shared" si="1"/>
        <v>0</v>
      </c>
      <c r="E57" s="84">
        <v>1.0</v>
      </c>
      <c r="F57" s="12"/>
      <c r="G57" s="12"/>
      <c r="H57" s="12"/>
      <c r="I57" s="12"/>
      <c r="J57" s="12"/>
      <c r="K57" s="12"/>
      <c r="L57" s="12"/>
      <c r="M57" s="12"/>
      <c r="N57" s="12"/>
      <c r="O57" s="12"/>
      <c r="P57" s="12"/>
      <c r="Q57" s="12"/>
      <c r="R57" s="12"/>
      <c r="S57" s="12"/>
      <c r="T57" s="12"/>
      <c r="U57" s="12"/>
      <c r="V57" s="12"/>
    </row>
    <row r="58">
      <c r="A58" s="12"/>
      <c r="B58" s="25">
        <v>0.5758</v>
      </c>
      <c r="C58" s="12"/>
      <c r="D58" s="83">
        <f t="shared" si="1"/>
        <v>0</v>
      </c>
      <c r="E58" s="80"/>
      <c r="F58" s="12"/>
      <c r="G58" s="12"/>
      <c r="H58" s="12"/>
      <c r="I58" s="12"/>
      <c r="J58" s="12"/>
      <c r="K58" s="12"/>
      <c r="L58" s="12"/>
      <c r="M58" s="12"/>
      <c r="N58" s="12"/>
      <c r="O58" s="12"/>
      <c r="P58" s="12"/>
      <c r="Q58" s="12"/>
      <c r="R58" s="12"/>
      <c r="S58" s="12"/>
      <c r="T58" s="12"/>
      <c r="U58" s="12"/>
      <c r="V58" s="12"/>
    </row>
    <row r="59">
      <c r="A59" s="12"/>
      <c r="B59" s="25">
        <v>0.6555</v>
      </c>
      <c r="C59" s="12"/>
      <c r="D59" s="81">
        <f t="shared" si="1"/>
        <v>1</v>
      </c>
      <c r="E59" s="84">
        <v>1.0</v>
      </c>
      <c r="F59" s="12"/>
      <c r="G59" s="12"/>
      <c r="H59" s="12"/>
      <c r="I59" s="12"/>
      <c r="J59" s="12"/>
      <c r="K59" s="12"/>
      <c r="L59" s="12"/>
      <c r="M59" s="12"/>
      <c r="N59" s="12"/>
      <c r="O59" s="12"/>
      <c r="P59" s="12"/>
      <c r="Q59" s="12"/>
      <c r="R59" s="12"/>
      <c r="S59" s="12"/>
      <c r="T59" s="12"/>
      <c r="U59" s="12"/>
      <c r="V59" s="12"/>
    </row>
    <row r="60">
      <c r="A60" s="12"/>
      <c r="B60" s="25">
        <v>0.8988</v>
      </c>
      <c r="C60" s="12"/>
      <c r="D60" s="81">
        <f t="shared" si="1"/>
        <v>1</v>
      </c>
      <c r="E60" s="80"/>
      <c r="F60" s="12"/>
      <c r="G60" s="12"/>
      <c r="H60" s="12"/>
      <c r="I60" s="12"/>
      <c r="J60" s="12"/>
      <c r="K60" s="12"/>
      <c r="L60" s="12"/>
      <c r="M60" s="12"/>
      <c r="N60" s="12"/>
      <c r="O60" s="12"/>
      <c r="P60" s="12"/>
      <c r="Q60" s="12"/>
      <c r="R60" s="12"/>
      <c r="S60" s="12"/>
      <c r="T60" s="12"/>
      <c r="U60" s="12"/>
      <c r="V60" s="12"/>
    </row>
    <row r="61">
      <c r="A61" s="12"/>
      <c r="B61" s="25">
        <v>0.8521</v>
      </c>
      <c r="C61" s="12"/>
      <c r="D61" s="83">
        <f t="shared" si="1"/>
        <v>0</v>
      </c>
      <c r="E61" s="80">
        <v>1.0</v>
      </c>
      <c r="F61" s="12"/>
      <c r="G61" s="12"/>
      <c r="H61" s="12"/>
      <c r="I61" s="12"/>
      <c r="J61" s="12"/>
      <c r="K61" s="12"/>
      <c r="L61" s="12"/>
      <c r="M61" s="12"/>
      <c r="N61" s="12"/>
      <c r="O61" s="12"/>
      <c r="P61" s="12"/>
      <c r="Q61" s="12"/>
      <c r="R61" s="12"/>
      <c r="S61" s="12"/>
      <c r="T61" s="12"/>
      <c r="U61" s="12"/>
      <c r="V61" s="12"/>
    </row>
    <row r="62">
      <c r="A62" s="12"/>
      <c r="B62" s="25">
        <v>0.3658</v>
      </c>
      <c r="C62" s="12"/>
      <c r="D62" s="81">
        <f t="shared" si="1"/>
        <v>0</v>
      </c>
      <c r="E62" s="80"/>
      <c r="F62" s="12"/>
      <c r="G62" s="12"/>
      <c r="H62" s="12"/>
      <c r="I62" s="12"/>
      <c r="J62" s="12"/>
      <c r="K62" s="12"/>
      <c r="L62" s="12"/>
      <c r="M62" s="12"/>
      <c r="N62" s="12"/>
      <c r="O62" s="12"/>
      <c r="P62" s="12"/>
      <c r="Q62" s="12"/>
      <c r="R62" s="12"/>
      <c r="S62" s="12"/>
      <c r="T62" s="12"/>
      <c r="U62" s="12"/>
      <c r="V62" s="12"/>
    </row>
    <row r="63">
      <c r="A63" s="12"/>
      <c r="B63" s="25">
        <v>0.4751</v>
      </c>
      <c r="C63" s="12"/>
      <c r="D63" s="83">
        <f t="shared" si="1"/>
        <v>1</v>
      </c>
      <c r="E63" s="80">
        <v>1.0</v>
      </c>
      <c r="F63" s="12"/>
      <c r="G63" s="12"/>
      <c r="H63" s="12"/>
      <c r="I63" s="12"/>
      <c r="J63" s="12"/>
      <c r="K63" s="12"/>
      <c r="L63" s="12"/>
      <c r="M63" s="12"/>
      <c r="N63" s="12"/>
      <c r="O63" s="12"/>
      <c r="P63" s="12"/>
      <c r="Q63" s="12"/>
      <c r="R63" s="12"/>
      <c r="S63" s="12"/>
      <c r="T63" s="12"/>
      <c r="U63" s="12"/>
      <c r="V63" s="12"/>
    </row>
    <row r="64">
      <c r="A64" s="12"/>
      <c r="B64" s="25">
        <v>0.2943</v>
      </c>
      <c r="C64" s="12"/>
      <c r="D64" s="81">
        <f t="shared" si="1"/>
        <v>0</v>
      </c>
      <c r="E64" s="84">
        <v>1.0</v>
      </c>
      <c r="F64" s="12"/>
      <c r="G64" s="12"/>
      <c r="H64" s="12"/>
      <c r="I64" s="12"/>
      <c r="J64" s="12"/>
      <c r="K64" s="12"/>
      <c r="L64" s="12"/>
      <c r="M64" s="12"/>
      <c r="N64" s="12"/>
      <c r="O64" s="12"/>
      <c r="P64" s="12"/>
      <c r="Q64" s="12"/>
      <c r="R64" s="12"/>
      <c r="S64" s="12"/>
      <c r="T64" s="12"/>
      <c r="U64" s="12"/>
      <c r="V64" s="12"/>
    </row>
    <row r="65">
      <c r="A65" s="12"/>
      <c r="B65" s="25">
        <v>0.6685</v>
      </c>
      <c r="C65" s="12"/>
      <c r="D65" s="81">
        <f t="shared" si="1"/>
        <v>1</v>
      </c>
      <c r="E65" s="80">
        <v>1.0</v>
      </c>
      <c r="F65" s="12"/>
      <c r="G65" s="12"/>
      <c r="H65" s="12"/>
      <c r="I65" s="12"/>
      <c r="J65" s="12"/>
      <c r="K65" s="12"/>
      <c r="L65" s="12"/>
      <c r="M65" s="12"/>
      <c r="N65" s="12"/>
      <c r="O65" s="12"/>
      <c r="P65" s="12"/>
      <c r="Q65" s="12"/>
      <c r="R65" s="12"/>
      <c r="S65" s="12"/>
      <c r="T65" s="12"/>
      <c r="U65" s="12"/>
      <c r="V65" s="12"/>
    </row>
    <row r="66">
      <c r="A66" s="12"/>
      <c r="B66" s="25">
        <v>0.5909</v>
      </c>
      <c r="C66" s="12"/>
      <c r="D66" s="83">
        <f t="shared" si="1"/>
        <v>0</v>
      </c>
      <c r="E66" s="84">
        <v>1.0</v>
      </c>
      <c r="F66" s="12"/>
      <c r="G66" s="12"/>
      <c r="H66" s="12"/>
      <c r="I66" s="12"/>
      <c r="J66" s="12"/>
      <c r="K66" s="12"/>
      <c r="L66" s="12"/>
      <c r="M66" s="12"/>
      <c r="N66" s="12"/>
      <c r="O66" s="12"/>
      <c r="P66" s="12"/>
      <c r="Q66" s="12"/>
      <c r="R66" s="12"/>
      <c r="S66" s="12"/>
      <c r="T66" s="12"/>
      <c r="U66" s="12"/>
      <c r="V66" s="12"/>
    </row>
    <row r="67">
      <c r="A67" s="12"/>
      <c r="B67" s="25">
        <v>0.4595</v>
      </c>
      <c r="C67" s="12"/>
      <c r="D67" s="83">
        <f t="shared" si="1"/>
        <v>0</v>
      </c>
      <c r="E67" s="80"/>
      <c r="F67" s="12"/>
      <c r="G67" s="12"/>
      <c r="H67" s="12"/>
      <c r="I67" s="12"/>
      <c r="J67" s="12"/>
      <c r="K67" s="12"/>
      <c r="L67" s="12"/>
      <c r="M67" s="12"/>
      <c r="N67" s="12"/>
      <c r="O67" s="12"/>
      <c r="P67" s="12"/>
      <c r="Q67" s="12"/>
      <c r="R67" s="12"/>
      <c r="S67" s="12"/>
      <c r="T67" s="12"/>
      <c r="U67" s="12"/>
      <c r="V67" s="12"/>
    </row>
    <row r="68">
      <c r="A68" s="12"/>
      <c r="B68" s="25">
        <v>0.4637</v>
      </c>
      <c r="C68" s="12"/>
      <c r="D68" s="83">
        <f t="shared" si="1"/>
        <v>1</v>
      </c>
      <c r="E68" s="80">
        <v>1.0</v>
      </c>
      <c r="F68" s="12"/>
      <c r="G68" s="12"/>
      <c r="H68" s="12"/>
      <c r="I68" s="12"/>
      <c r="J68" s="12"/>
      <c r="K68" s="12"/>
      <c r="L68" s="12"/>
      <c r="M68" s="12"/>
      <c r="N68" s="12"/>
      <c r="O68" s="12"/>
      <c r="P68" s="12"/>
      <c r="Q68" s="12"/>
      <c r="R68" s="12"/>
      <c r="S68" s="12"/>
      <c r="T68" s="12"/>
      <c r="U68" s="12"/>
      <c r="V68" s="12"/>
    </row>
    <row r="69">
      <c r="A69" s="12"/>
      <c r="B69" s="25">
        <v>0.6873</v>
      </c>
      <c r="C69" s="12"/>
      <c r="D69" s="81">
        <f t="shared" si="1"/>
        <v>1</v>
      </c>
      <c r="E69" s="80"/>
      <c r="F69" s="12"/>
      <c r="G69" s="12"/>
      <c r="H69" s="12"/>
      <c r="I69" s="12"/>
      <c r="J69" s="12"/>
      <c r="K69" s="12"/>
      <c r="L69" s="12"/>
      <c r="M69" s="12"/>
      <c r="N69" s="12"/>
      <c r="O69" s="12"/>
      <c r="P69" s="12"/>
      <c r="Q69" s="12"/>
      <c r="R69" s="12"/>
      <c r="S69" s="12"/>
      <c r="T69" s="12"/>
      <c r="U69" s="12"/>
      <c r="V69" s="12"/>
    </row>
    <row r="70">
      <c r="A70" s="12"/>
      <c r="B70" s="25">
        <v>0.5918</v>
      </c>
      <c r="C70" s="12"/>
      <c r="D70" s="81">
        <f t="shared" si="1"/>
        <v>0</v>
      </c>
      <c r="E70" s="80">
        <v>1.0</v>
      </c>
      <c r="F70" s="12"/>
      <c r="G70" s="12"/>
      <c r="H70" s="12"/>
      <c r="I70" s="12"/>
      <c r="J70" s="12"/>
      <c r="K70" s="12"/>
      <c r="L70" s="12"/>
      <c r="M70" s="12"/>
      <c r="N70" s="12"/>
      <c r="O70" s="12"/>
      <c r="P70" s="12"/>
      <c r="Q70" s="12"/>
      <c r="R70" s="12"/>
      <c r="S70" s="12"/>
      <c r="T70" s="12"/>
      <c r="U70" s="12"/>
      <c r="V70" s="12"/>
    </row>
    <row r="71">
      <c r="A71" s="12"/>
      <c r="B71" s="25">
        <v>0.5074</v>
      </c>
      <c r="C71" s="12"/>
      <c r="D71" s="83">
        <f t="shared" si="1"/>
        <v>0</v>
      </c>
      <c r="E71" s="80"/>
      <c r="F71" s="12"/>
      <c r="G71" s="12"/>
      <c r="H71" s="12"/>
      <c r="I71" s="12"/>
      <c r="J71" s="12"/>
      <c r="K71" s="12"/>
      <c r="L71" s="12"/>
      <c r="M71" s="12"/>
      <c r="N71" s="12"/>
      <c r="O71" s="12"/>
      <c r="P71" s="12"/>
      <c r="Q71" s="12"/>
      <c r="R71" s="12"/>
      <c r="S71" s="12"/>
      <c r="T71" s="12"/>
      <c r="U71" s="12"/>
      <c r="V71" s="12"/>
    </row>
    <row r="72">
      <c r="A72" s="12"/>
      <c r="B72" s="25">
        <v>0.0139</v>
      </c>
      <c r="C72" s="12"/>
      <c r="D72" s="81">
        <f t="shared" si="1"/>
        <v>0</v>
      </c>
      <c r="E72" s="80"/>
      <c r="F72" s="12"/>
      <c r="G72" s="12"/>
      <c r="H72" s="12"/>
      <c r="I72" s="12"/>
      <c r="J72" s="12"/>
      <c r="K72" s="12"/>
      <c r="L72" s="12"/>
      <c r="M72" s="12"/>
      <c r="N72" s="12"/>
      <c r="O72" s="12"/>
      <c r="P72" s="12"/>
      <c r="Q72" s="12"/>
      <c r="R72" s="12"/>
      <c r="S72" s="12"/>
      <c r="T72" s="12"/>
      <c r="U72" s="12"/>
      <c r="V72" s="12"/>
    </row>
    <row r="73">
      <c r="A73" s="12"/>
      <c r="B73" s="25">
        <v>0.74</v>
      </c>
      <c r="C73" s="12"/>
      <c r="D73" s="81">
        <f t="shared" si="1"/>
        <v>1</v>
      </c>
      <c r="E73" s="84">
        <v>1.0</v>
      </c>
      <c r="F73" s="12"/>
      <c r="G73" s="12"/>
      <c r="H73" s="12"/>
      <c r="I73" s="12"/>
      <c r="J73" s="12"/>
      <c r="K73" s="12"/>
      <c r="L73" s="12"/>
      <c r="M73" s="12"/>
      <c r="N73" s="12"/>
      <c r="O73" s="12"/>
      <c r="P73" s="12"/>
      <c r="Q73" s="12"/>
      <c r="R73" s="12"/>
      <c r="S73" s="12"/>
      <c r="T73" s="12"/>
      <c r="U73" s="12"/>
      <c r="V73" s="12"/>
    </row>
    <row r="74">
      <c r="A74" s="12"/>
      <c r="B74" s="25">
        <v>0.3976</v>
      </c>
      <c r="C74" s="12"/>
      <c r="D74" s="81">
        <f t="shared" si="1"/>
        <v>0</v>
      </c>
      <c r="E74" s="84">
        <v>1.0</v>
      </c>
      <c r="F74" s="12"/>
      <c r="G74" s="12"/>
      <c r="H74" s="12"/>
      <c r="I74" s="12"/>
      <c r="J74" s="12"/>
      <c r="K74" s="12"/>
      <c r="L74" s="12"/>
      <c r="M74" s="12"/>
      <c r="N74" s="12"/>
      <c r="O74" s="12"/>
      <c r="P74" s="12"/>
      <c r="Q74" s="12"/>
      <c r="R74" s="12"/>
      <c r="S74" s="12"/>
      <c r="T74" s="12"/>
      <c r="U74" s="12"/>
      <c r="V74" s="12"/>
    </row>
    <row r="75">
      <c r="A75" s="12"/>
      <c r="B75" s="25">
        <v>0.1682</v>
      </c>
      <c r="C75" s="12"/>
      <c r="D75" s="81">
        <f t="shared" si="1"/>
        <v>0</v>
      </c>
      <c r="E75" s="80"/>
      <c r="F75" s="12"/>
      <c r="G75" s="12"/>
      <c r="H75" s="12"/>
      <c r="I75" s="12"/>
      <c r="J75" s="12"/>
      <c r="K75" s="12"/>
      <c r="L75" s="12"/>
      <c r="M75" s="12"/>
      <c r="N75" s="12"/>
      <c r="O75" s="12"/>
      <c r="P75" s="12"/>
      <c r="Q75" s="12"/>
      <c r="R75" s="12"/>
      <c r="S75" s="12"/>
      <c r="T75" s="12"/>
      <c r="U75" s="12"/>
      <c r="V75" s="12"/>
    </row>
    <row r="76">
      <c r="A76" s="12"/>
      <c r="B76" s="25">
        <v>0.9549</v>
      </c>
      <c r="C76" s="12"/>
      <c r="D76" s="83">
        <f t="shared" si="1"/>
        <v>1</v>
      </c>
      <c r="E76" s="84">
        <v>1.0</v>
      </c>
      <c r="F76" s="12"/>
      <c r="G76" s="12"/>
      <c r="H76" s="12"/>
      <c r="I76" s="12"/>
      <c r="J76" s="12"/>
      <c r="K76" s="12"/>
      <c r="L76" s="12"/>
      <c r="M76" s="12"/>
      <c r="N76" s="12"/>
      <c r="O76" s="12"/>
      <c r="P76" s="12"/>
      <c r="Q76" s="12"/>
      <c r="R76" s="12"/>
      <c r="S76" s="12"/>
      <c r="T76" s="12"/>
      <c r="U76" s="12"/>
      <c r="V76" s="12"/>
    </row>
    <row r="77">
      <c r="A77" s="12"/>
      <c r="B77" s="25">
        <v>0.8388</v>
      </c>
      <c r="C77" s="12"/>
      <c r="D77" s="83">
        <f t="shared" si="1"/>
        <v>0</v>
      </c>
      <c r="E77" s="80">
        <v>1.0</v>
      </c>
      <c r="F77" s="12"/>
      <c r="G77" s="12"/>
      <c r="H77" s="12"/>
      <c r="I77" s="12"/>
      <c r="J77" s="12"/>
      <c r="K77" s="12"/>
      <c r="L77" s="12"/>
      <c r="M77" s="12"/>
      <c r="N77" s="12"/>
      <c r="O77" s="12"/>
      <c r="P77" s="12"/>
      <c r="Q77" s="12"/>
      <c r="R77" s="12"/>
      <c r="S77" s="12"/>
      <c r="T77" s="12"/>
      <c r="U77" s="12"/>
      <c r="V77" s="12"/>
    </row>
    <row r="78">
      <c r="A78" s="12"/>
      <c r="B78" s="25">
        <v>0.6577</v>
      </c>
      <c r="C78" s="12"/>
      <c r="D78" s="81">
        <f t="shared" si="1"/>
        <v>0</v>
      </c>
      <c r="E78" s="80"/>
      <c r="F78" s="12"/>
      <c r="G78" s="12"/>
      <c r="H78" s="12"/>
      <c r="I78" s="12"/>
      <c r="J78" s="12"/>
      <c r="K78" s="12"/>
      <c r="L78" s="12"/>
      <c r="M78" s="12"/>
      <c r="N78" s="12"/>
      <c r="O78" s="12"/>
      <c r="P78" s="12"/>
      <c r="Q78" s="12"/>
      <c r="R78" s="12"/>
      <c r="S78" s="12"/>
      <c r="T78" s="12"/>
      <c r="U78" s="12"/>
      <c r="V78" s="12"/>
    </row>
    <row r="79">
      <c r="A79" s="12"/>
      <c r="B79" s="25">
        <v>0.0159</v>
      </c>
      <c r="C79" s="12"/>
      <c r="D79" s="81">
        <f t="shared" si="1"/>
        <v>0</v>
      </c>
      <c r="E79" s="80"/>
      <c r="F79" s="12"/>
      <c r="G79" s="12"/>
      <c r="H79" s="12"/>
      <c r="I79" s="12"/>
      <c r="J79" s="12"/>
      <c r="K79" s="12"/>
      <c r="L79" s="12"/>
      <c r="M79" s="12"/>
      <c r="N79" s="12"/>
      <c r="O79" s="12"/>
      <c r="P79" s="12"/>
      <c r="Q79" s="12"/>
      <c r="R79" s="12"/>
      <c r="S79" s="12"/>
      <c r="T79" s="12"/>
      <c r="U79" s="12"/>
      <c r="V79" s="12"/>
    </row>
    <row r="80">
      <c r="A80" s="12"/>
      <c r="B80" s="25">
        <v>0.8465</v>
      </c>
      <c r="C80" s="12"/>
      <c r="D80" s="83">
        <f t="shared" si="1"/>
        <v>1</v>
      </c>
      <c r="E80" s="80">
        <v>1.0</v>
      </c>
      <c r="F80" s="12"/>
      <c r="G80" s="12"/>
      <c r="H80" s="12"/>
      <c r="I80" s="12"/>
      <c r="J80" s="12"/>
      <c r="K80" s="12"/>
      <c r="L80" s="12"/>
      <c r="M80" s="12"/>
      <c r="N80" s="12"/>
      <c r="O80" s="12"/>
      <c r="P80" s="12"/>
      <c r="Q80" s="12"/>
      <c r="R80" s="12"/>
      <c r="S80" s="12"/>
      <c r="T80" s="12"/>
      <c r="U80" s="12"/>
      <c r="V80" s="12"/>
    </row>
    <row r="81">
      <c r="A81" s="12"/>
      <c r="B81" s="25">
        <v>0.0676</v>
      </c>
      <c r="C81" s="12"/>
      <c r="D81" s="81">
        <f t="shared" si="1"/>
        <v>0</v>
      </c>
      <c r="E81" s="80">
        <v>1.0</v>
      </c>
      <c r="F81" s="12"/>
      <c r="G81" s="12"/>
      <c r="H81" s="12"/>
      <c r="I81" s="12"/>
      <c r="J81" s="12"/>
      <c r="K81" s="12"/>
      <c r="L81" s="12"/>
      <c r="M81" s="12"/>
      <c r="N81" s="12"/>
      <c r="O81" s="12"/>
      <c r="P81" s="12"/>
      <c r="Q81" s="12"/>
      <c r="R81" s="12"/>
      <c r="S81" s="12"/>
      <c r="T81" s="12"/>
      <c r="U81" s="12"/>
      <c r="V81" s="12"/>
    </row>
    <row r="82">
      <c r="A82" s="12"/>
      <c r="B82" s="25">
        <v>0.599</v>
      </c>
      <c r="C82" s="12"/>
      <c r="D82" s="83">
        <f t="shared" si="1"/>
        <v>1</v>
      </c>
      <c r="E82" s="80">
        <v>1.0</v>
      </c>
      <c r="F82" s="12"/>
      <c r="G82" s="12"/>
      <c r="H82" s="12"/>
      <c r="I82" s="12"/>
      <c r="J82" s="12"/>
      <c r="K82" s="12"/>
      <c r="L82" s="12"/>
      <c r="M82" s="12"/>
      <c r="N82" s="12"/>
      <c r="O82" s="12"/>
      <c r="P82" s="12"/>
      <c r="Q82" s="12"/>
      <c r="R82" s="12"/>
      <c r="S82" s="12"/>
      <c r="T82" s="12"/>
      <c r="U82" s="12"/>
      <c r="V82" s="12"/>
    </row>
    <row r="83">
      <c r="A83" s="12"/>
      <c r="B83" s="25">
        <v>0.8907</v>
      </c>
      <c r="C83" s="12"/>
      <c r="D83" s="81">
        <f t="shared" si="1"/>
        <v>1</v>
      </c>
      <c r="E83" s="80"/>
      <c r="F83" s="12"/>
      <c r="G83" s="12"/>
      <c r="H83" s="12"/>
      <c r="I83" s="12"/>
      <c r="J83" s="12"/>
      <c r="K83" s="12"/>
      <c r="L83" s="12"/>
      <c r="M83" s="12"/>
      <c r="N83" s="12"/>
      <c r="O83" s="12"/>
      <c r="P83" s="12"/>
      <c r="Q83" s="12"/>
      <c r="R83" s="12"/>
      <c r="S83" s="12"/>
      <c r="T83" s="12"/>
      <c r="U83" s="12"/>
      <c r="V83" s="12"/>
    </row>
    <row r="84">
      <c r="A84" s="12"/>
      <c r="B84" s="25">
        <v>0.4208</v>
      </c>
      <c r="C84" s="12"/>
      <c r="D84" s="81">
        <f t="shared" si="1"/>
        <v>0</v>
      </c>
      <c r="E84" s="80">
        <v>1.0</v>
      </c>
      <c r="F84" s="12"/>
      <c r="G84" s="12"/>
      <c r="H84" s="12"/>
      <c r="I84" s="12"/>
      <c r="J84" s="12"/>
      <c r="K84" s="12"/>
      <c r="L84" s="12"/>
      <c r="M84" s="12"/>
      <c r="N84" s="12"/>
      <c r="O84" s="12"/>
      <c r="P84" s="12"/>
      <c r="Q84" s="12"/>
      <c r="R84" s="12"/>
      <c r="S84" s="12"/>
      <c r="T84" s="12"/>
      <c r="U84" s="12"/>
      <c r="V84" s="12"/>
    </row>
    <row r="85">
      <c r="A85" s="12"/>
      <c r="B85" s="25">
        <v>0.4033</v>
      </c>
      <c r="C85" s="12"/>
      <c r="D85" s="83">
        <f t="shared" si="1"/>
        <v>0</v>
      </c>
      <c r="E85" s="80"/>
      <c r="F85" s="12"/>
      <c r="G85" s="12"/>
      <c r="H85" s="12"/>
      <c r="I85" s="12"/>
      <c r="J85" s="12"/>
      <c r="K85" s="12"/>
      <c r="L85" s="12"/>
      <c r="M85" s="12"/>
      <c r="N85" s="12"/>
      <c r="O85" s="12"/>
      <c r="P85" s="12"/>
      <c r="Q85" s="12"/>
      <c r="R85" s="12"/>
      <c r="S85" s="12"/>
      <c r="T85" s="12"/>
      <c r="U85" s="12"/>
      <c r="V85" s="12"/>
    </row>
    <row r="86">
      <c r="A86" s="12"/>
      <c r="B86" s="25">
        <v>0.4716</v>
      </c>
      <c r="C86" s="12"/>
      <c r="D86" s="81">
        <f t="shared" si="1"/>
        <v>1</v>
      </c>
      <c r="E86" s="80">
        <v>1.0</v>
      </c>
      <c r="F86" s="12"/>
      <c r="G86" s="12"/>
      <c r="H86" s="12"/>
      <c r="I86" s="12"/>
      <c r="J86" s="12"/>
      <c r="K86" s="12"/>
      <c r="L86" s="12"/>
      <c r="M86" s="12"/>
      <c r="N86" s="12"/>
      <c r="O86" s="12"/>
      <c r="P86" s="12"/>
      <c r="Q86" s="12"/>
      <c r="R86" s="12"/>
      <c r="S86" s="12"/>
      <c r="T86" s="12"/>
      <c r="U86" s="12"/>
      <c r="V86" s="12"/>
    </row>
    <row r="87">
      <c r="A87" s="12"/>
      <c r="B87" s="25">
        <v>0.1079</v>
      </c>
      <c r="C87" s="12"/>
      <c r="D87" s="83">
        <f t="shared" si="1"/>
        <v>0</v>
      </c>
      <c r="E87" s="84">
        <v>1.0</v>
      </c>
      <c r="F87" s="12"/>
      <c r="G87" s="12"/>
      <c r="H87" s="12"/>
      <c r="I87" s="12"/>
      <c r="J87" s="12"/>
      <c r="K87" s="12"/>
      <c r="L87" s="12"/>
      <c r="M87" s="12"/>
      <c r="N87" s="12"/>
      <c r="O87" s="12"/>
      <c r="P87" s="12"/>
      <c r="Q87" s="12"/>
      <c r="R87" s="12"/>
      <c r="S87" s="12"/>
      <c r="T87" s="12"/>
      <c r="U87" s="12"/>
      <c r="V87" s="12"/>
    </row>
    <row r="88">
      <c r="A88" s="12"/>
      <c r="B88" s="25">
        <v>0.7445</v>
      </c>
      <c r="C88" s="12"/>
      <c r="D88" s="83">
        <f t="shared" si="1"/>
        <v>1</v>
      </c>
      <c r="E88" s="80">
        <v>1.0</v>
      </c>
      <c r="F88" s="12"/>
      <c r="G88" s="12"/>
      <c r="H88" s="12"/>
      <c r="I88" s="12"/>
      <c r="J88" s="12"/>
      <c r="K88" s="12"/>
      <c r="L88" s="12"/>
      <c r="M88" s="12"/>
      <c r="N88" s="12"/>
      <c r="O88" s="12"/>
      <c r="P88" s="12"/>
      <c r="Q88" s="12"/>
      <c r="R88" s="12"/>
      <c r="S88" s="12"/>
      <c r="T88" s="12"/>
      <c r="U88" s="12"/>
      <c r="V88" s="12"/>
    </row>
    <row r="89">
      <c r="A89" s="12"/>
      <c r="B89" s="25">
        <v>0.6371</v>
      </c>
      <c r="C89" s="12"/>
      <c r="D89" s="81">
        <f t="shared" si="1"/>
        <v>0</v>
      </c>
      <c r="E89" s="84">
        <v>1.0</v>
      </c>
      <c r="F89" s="12"/>
      <c r="G89" s="12"/>
      <c r="H89" s="12"/>
      <c r="I89" s="12"/>
      <c r="J89" s="12"/>
      <c r="K89" s="12"/>
      <c r="L89" s="12"/>
      <c r="M89" s="12"/>
      <c r="N89" s="12"/>
      <c r="O89" s="12"/>
      <c r="P89" s="12"/>
      <c r="Q89" s="12"/>
      <c r="R89" s="12"/>
      <c r="S89" s="12"/>
      <c r="T89" s="12"/>
      <c r="U89" s="12"/>
      <c r="V89" s="12"/>
    </row>
    <row r="90">
      <c r="A90" s="12"/>
      <c r="B90" s="25">
        <v>0.9192</v>
      </c>
      <c r="C90" s="12"/>
      <c r="D90" s="81">
        <f t="shared" si="1"/>
        <v>1</v>
      </c>
      <c r="E90" s="84">
        <v>1.0</v>
      </c>
      <c r="F90" s="12"/>
      <c r="G90" s="12"/>
      <c r="H90" s="12"/>
      <c r="I90" s="12"/>
      <c r="J90" s="12"/>
      <c r="K90" s="12"/>
      <c r="L90" s="12"/>
      <c r="M90" s="12"/>
      <c r="N90" s="12"/>
      <c r="O90" s="12"/>
      <c r="P90" s="12"/>
      <c r="Q90" s="12"/>
      <c r="R90" s="12"/>
      <c r="S90" s="12"/>
      <c r="T90" s="12"/>
      <c r="U90" s="12"/>
      <c r="V90" s="12"/>
    </row>
    <row r="91">
      <c r="A91" s="12"/>
      <c r="B91" s="25">
        <v>0.9382</v>
      </c>
      <c r="C91" s="12"/>
      <c r="D91" s="81">
        <f t="shared" si="1"/>
        <v>1</v>
      </c>
      <c r="E91" s="80"/>
      <c r="F91" s="12"/>
      <c r="G91" s="12"/>
      <c r="H91" s="12"/>
      <c r="I91" s="12"/>
      <c r="J91" s="12"/>
      <c r="K91" s="12"/>
      <c r="L91" s="12"/>
      <c r="M91" s="12"/>
      <c r="N91" s="12"/>
      <c r="O91" s="12"/>
      <c r="P91" s="12"/>
      <c r="Q91" s="12"/>
      <c r="R91" s="12"/>
      <c r="S91" s="12"/>
      <c r="T91" s="12"/>
      <c r="U91" s="12"/>
      <c r="V91" s="12"/>
    </row>
    <row r="92">
      <c r="A92" s="12"/>
      <c r="B92" s="25">
        <v>0.9497</v>
      </c>
      <c r="C92" s="12"/>
      <c r="D92" s="81">
        <f t="shared" si="1"/>
        <v>1</v>
      </c>
      <c r="E92" s="80"/>
      <c r="F92" s="12"/>
      <c r="G92" s="12"/>
      <c r="H92" s="12"/>
      <c r="I92" s="12"/>
      <c r="J92" s="12"/>
      <c r="K92" s="12"/>
      <c r="L92" s="12"/>
      <c r="M92" s="12"/>
      <c r="N92" s="12"/>
      <c r="O92" s="12"/>
      <c r="P92" s="12"/>
      <c r="Q92" s="12"/>
      <c r="R92" s="12"/>
      <c r="S92" s="12"/>
      <c r="T92" s="12"/>
      <c r="U92" s="12"/>
      <c r="V92" s="12"/>
    </row>
    <row r="93">
      <c r="A93" s="12"/>
      <c r="B93" s="25">
        <v>0.562</v>
      </c>
      <c r="C93" s="12"/>
      <c r="D93" s="83">
        <f t="shared" si="1"/>
        <v>0</v>
      </c>
      <c r="E93" s="80">
        <v>1.0</v>
      </c>
      <c r="F93" s="12"/>
      <c r="G93" s="12"/>
      <c r="H93" s="12"/>
      <c r="I93" s="12"/>
      <c r="J93" s="12"/>
      <c r="K93" s="12"/>
      <c r="L93" s="12"/>
      <c r="M93" s="12"/>
      <c r="N93" s="12"/>
      <c r="O93" s="12"/>
      <c r="P93" s="12"/>
      <c r="Q93" s="12"/>
      <c r="R93" s="12"/>
      <c r="S93" s="12"/>
      <c r="T93" s="12"/>
      <c r="U93" s="12"/>
      <c r="V93" s="12"/>
    </row>
    <row r="94">
      <c r="A94" s="12"/>
      <c r="B94" s="25">
        <v>0.9208</v>
      </c>
      <c r="C94" s="12"/>
      <c r="D94" s="81">
        <f t="shared" si="1"/>
        <v>1</v>
      </c>
      <c r="E94" s="84">
        <v>1.0</v>
      </c>
      <c r="F94" s="12"/>
      <c r="G94" s="12"/>
      <c r="H94" s="12"/>
      <c r="I94" s="12"/>
      <c r="J94" s="12"/>
      <c r="K94" s="12"/>
      <c r="L94" s="12"/>
      <c r="M94" s="12"/>
      <c r="N94" s="12"/>
      <c r="O94" s="12"/>
      <c r="P94" s="12"/>
      <c r="Q94" s="12"/>
      <c r="R94" s="12"/>
      <c r="S94" s="12"/>
      <c r="T94" s="12"/>
      <c r="U94" s="12"/>
      <c r="V94" s="12"/>
    </row>
    <row r="95">
      <c r="A95" s="12"/>
      <c r="B95" s="25">
        <v>0.0233</v>
      </c>
      <c r="C95" s="12"/>
      <c r="D95" s="81">
        <f t="shared" si="1"/>
        <v>0</v>
      </c>
      <c r="E95" s="80">
        <v>1.0</v>
      </c>
      <c r="F95" s="12"/>
      <c r="G95" s="12"/>
      <c r="H95" s="12"/>
      <c r="I95" s="12"/>
      <c r="J95" s="12"/>
      <c r="K95" s="12"/>
      <c r="L95" s="12"/>
      <c r="M95" s="12"/>
      <c r="N95" s="12"/>
      <c r="O95" s="12"/>
      <c r="P95" s="12"/>
      <c r="Q95" s="12"/>
      <c r="R95" s="12"/>
      <c r="S95" s="12"/>
      <c r="T95" s="12"/>
      <c r="U95" s="12"/>
      <c r="V95" s="12"/>
    </row>
    <row r="96">
      <c r="A96" s="12"/>
      <c r="B96" s="25">
        <v>0.2404</v>
      </c>
      <c r="C96" s="12"/>
      <c r="D96" s="83">
        <f t="shared" si="1"/>
        <v>1</v>
      </c>
      <c r="E96" s="84">
        <v>1.0</v>
      </c>
      <c r="F96" s="12"/>
      <c r="G96" s="12"/>
      <c r="H96" s="12"/>
      <c r="I96" s="12"/>
      <c r="J96" s="12"/>
      <c r="K96" s="12"/>
      <c r="L96" s="12"/>
      <c r="M96" s="12"/>
      <c r="N96" s="12"/>
      <c r="O96" s="12"/>
      <c r="P96" s="12"/>
      <c r="Q96" s="12"/>
      <c r="R96" s="12"/>
      <c r="S96" s="12"/>
      <c r="T96" s="12"/>
      <c r="U96" s="12"/>
      <c r="V96" s="12"/>
    </row>
    <row r="97">
      <c r="A97" s="12"/>
      <c r="B97" s="25">
        <v>0.7988</v>
      </c>
      <c r="C97" s="12"/>
      <c r="D97" s="83">
        <f t="shared" si="1"/>
        <v>1</v>
      </c>
      <c r="E97" s="80"/>
      <c r="F97" s="12"/>
      <c r="G97" s="12"/>
      <c r="H97" s="12"/>
      <c r="I97" s="12"/>
      <c r="J97" s="12"/>
      <c r="K97" s="12"/>
      <c r="L97" s="12"/>
      <c r="M97" s="12"/>
      <c r="N97" s="12"/>
      <c r="O97" s="12"/>
      <c r="P97" s="12"/>
      <c r="Q97" s="12"/>
      <c r="R97" s="12"/>
      <c r="S97" s="12"/>
      <c r="T97" s="12"/>
      <c r="U97" s="12"/>
      <c r="V97" s="12"/>
    </row>
    <row r="98">
      <c r="A98" s="12"/>
      <c r="B98" s="25">
        <v>0.5281</v>
      </c>
      <c r="C98" s="12"/>
      <c r="D98" s="83">
        <f t="shared" si="1"/>
        <v>0</v>
      </c>
      <c r="E98" s="80">
        <v>1.0</v>
      </c>
      <c r="F98" s="12"/>
      <c r="G98" s="12"/>
      <c r="H98" s="12"/>
      <c r="I98" s="12"/>
      <c r="J98" s="12"/>
      <c r="K98" s="12"/>
      <c r="L98" s="12"/>
      <c r="M98" s="12"/>
      <c r="N98" s="12"/>
      <c r="O98" s="12"/>
      <c r="P98" s="12"/>
      <c r="Q98" s="12"/>
      <c r="R98" s="12"/>
      <c r="S98" s="12"/>
      <c r="T98" s="12"/>
      <c r="U98" s="12"/>
      <c r="V98" s="12"/>
    </row>
    <row r="99">
      <c r="A99" s="12"/>
      <c r="B99" s="25">
        <v>0.116</v>
      </c>
      <c r="C99" s="12"/>
      <c r="D99" s="81">
        <f t="shared" si="1"/>
        <v>0</v>
      </c>
      <c r="E99" s="80"/>
      <c r="F99" s="12"/>
      <c r="G99" s="12"/>
      <c r="H99" s="12"/>
      <c r="I99" s="12"/>
      <c r="J99" s="12"/>
      <c r="K99" s="12"/>
      <c r="L99" s="12"/>
      <c r="M99" s="12"/>
      <c r="N99" s="12"/>
      <c r="O99" s="12"/>
      <c r="P99" s="12"/>
      <c r="Q99" s="12"/>
      <c r="R99" s="12"/>
      <c r="S99" s="12"/>
      <c r="T99" s="12"/>
      <c r="U99" s="12"/>
      <c r="V99" s="12"/>
    </row>
    <row r="100">
      <c r="A100" s="12"/>
      <c r="B100" s="25">
        <v>0.1758</v>
      </c>
      <c r="C100" s="12"/>
      <c r="D100" s="83">
        <f t="shared" si="1"/>
        <v>1</v>
      </c>
      <c r="E100" s="80">
        <v>1.0</v>
      </c>
      <c r="F100" s="12"/>
      <c r="G100" s="12"/>
      <c r="H100" s="12"/>
      <c r="I100" s="12"/>
      <c r="J100" s="12"/>
      <c r="K100" s="12"/>
      <c r="L100" s="12"/>
      <c r="M100" s="12"/>
      <c r="N100" s="12"/>
      <c r="O100" s="12"/>
      <c r="P100" s="12"/>
      <c r="Q100" s="12"/>
      <c r="R100" s="12"/>
      <c r="S100" s="12"/>
      <c r="T100" s="12"/>
      <c r="U100" s="12"/>
      <c r="V100" s="12"/>
    </row>
    <row r="101">
      <c r="A101" s="12"/>
      <c r="B101" s="25">
        <v>0.3595</v>
      </c>
      <c r="C101" s="12"/>
      <c r="D101" s="81">
        <f t="shared" si="1"/>
        <v>1</v>
      </c>
      <c r="E101" s="80"/>
      <c r="F101" s="12"/>
      <c r="G101" s="12"/>
      <c r="H101" s="12"/>
      <c r="I101" s="12"/>
      <c r="J101" s="12"/>
      <c r="K101" s="12"/>
      <c r="L101" s="12"/>
      <c r="M101" s="12"/>
      <c r="N101" s="12"/>
      <c r="O101" s="12"/>
      <c r="P101" s="12"/>
      <c r="Q101" s="12"/>
      <c r="R101" s="12"/>
      <c r="S101" s="12"/>
      <c r="T101" s="12"/>
      <c r="U101" s="12"/>
      <c r="V101" s="12"/>
    </row>
    <row r="102">
      <c r="A102" s="12"/>
      <c r="B102" s="25">
        <v>0.1397</v>
      </c>
      <c r="C102" s="12"/>
      <c r="D102" s="81">
        <f t="shared" si="1"/>
        <v>0</v>
      </c>
      <c r="E102" s="80">
        <v>1.0</v>
      </c>
      <c r="F102" s="12"/>
      <c r="G102" s="12"/>
      <c r="H102" s="12"/>
      <c r="I102" s="12"/>
      <c r="J102" s="12"/>
      <c r="K102" s="12"/>
      <c r="L102" s="12"/>
      <c r="M102" s="12"/>
      <c r="N102" s="12"/>
      <c r="O102" s="12"/>
      <c r="P102" s="12"/>
      <c r="Q102" s="12"/>
      <c r="R102" s="12"/>
      <c r="S102" s="12"/>
      <c r="T102" s="12"/>
      <c r="U102" s="12"/>
      <c r="V102" s="12"/>
    </row>
    <row r="103">
      <c r="E103" s="1"/>
    </row>
    <row r="104">
      <c r="E104" s="1"/>
    </row>
    <row r="105">
      <c r="E105" s="1"/>
    </row>
    <row r="106">
      <c r="E106" s="1"/>
    </row>
    <row r="107">
      <c r="E107" s="1"/>
    </row>
    <row r="108">
      <c r="E108" s="1"/>
    </row>
    <row r="109">
      <c r="E109" s="1"/>
    </row>
    <row r="110">
      <c r="E110" s="1"/>
    </row>
    <row r="111">
      <c r="E111" s="1"/>
    </row>
    <row r="112">
      <c r="E112" s="1"/>
    </row>
    <row r="113">
      <c r="E113" s="1"/>
    </row>
    <row r="114">
      <c r="E114" s="1"/>
    </row>
    <row r="115">
      <c r="E115" s="1"/>
    </row>
    <row r="116">
      <c r="E116" s="1"/>
    </row>
    <row r="117">
      <c r="E117" s="1"/>
    </row>
    <row r="118">
      <c r="E118" s="1"/>
    </row>
    <row r="119">
      <c r="E119" s="1"/>
    </row>
    <row r="120">
      <c r="E120" s="1"/>
    </row>
    <row r="121">
      <c r="E121" s="1"/>
    </row>
    <row r="122">
      <c r="E122" s="1"/>
    </row>
    <row r="123">
      <c r="E123" s="1"/>
    </row>
    <row r="124">
      <c r="E124" s="1"/>
    </row>
    <row r="125">
      <c r="E125" s="1"/>
    </row>
    <row r="126">
      <c r="E126" s="1"/>
    </row>
    <row r="127">
      <c r="E127" s="1"/>
    </row>
    <row r="128">
      <c r="E128" s="1"/>
    </row>
    <row r="129">
      <c r="E129" s="1"/>
    </row>
    <row r="130">
      <c r="E130" s="1"/>
    </row>
    <row r="131">
      <c r="E131" s="1"/>
    </row>
    <row r="132">
      <c r="E132" s="1"/>
    </row>
    <row r="133">
      <c r="E133" s="1"/>
    </row>
    <row r="134">
      <c r="E134" s="1"/>
    </row>
    <row r="135">
      <c r="E135" s="1"/>
    </row>
    <row r="136">
      <c r="E136" s="1"/>
    </row>
    <row r="137">
      <c r="E137" s="1"/>
    </row>
    <row r="138">
      <c r="E138" s="1"/>
    </row>
    <row r="139">
      <c r="E139" s="1"/>
    </row>
    <row r="140">
      <c r="E140" s="1"/>
    </row>
    <row r="141">
      <c r="E141" s="1"/>
    </row>
    <row r="142">
      <c r="E142" s="1"/>
    </row>
    <row r="143">
      <c r="E143" s="1"/>
    </row>
    <row r="144">
      <c r="E144" s="1"/>
    </row>
    <row r="145">
      <c r="E145" s="1"/>
    </row>
    <row r="146">
      <c r="E146" s="1"/>
    </row>
    <row r="147">
      <c r="E147" s="1"/>
    </row>
    <row r="148">
      <c r="E148" s="1"/>
    </row>
    <row r="149">
      <c r="E149" s="1"/>
    </row>
    <row r="150">
      <c r="E150" s="1"/>
    </row>
    <row r="151">
      <c r="E151" s="1"/>
    </row>
    <row r="152">
      <c r="E152" s="1"/>
    </row>
    <row r="153">
      <c r="E153" s="1"/>
    </row>
    <row r="154">
      <c r="E154" s="1"/>
    </row>
    <row r="155">
      <c r="E155" s="1"/>
    </row>
    <row r="156">
      <c r="E156" s="1"/>
    </row>
    <row r="157">
      <c r="E157" s="1"/>
    </row>
    <row r="158">
      <c r="E158" s="1"/>
    </row>
    <row r="159">
      <c r="E159" s="1"/>
    </row>
    <row r="160">
      <c r="E160" s="1"/>
    </row>
    <row r="161">
      <c r="E161" s="1"/>
    </row>
    <row r="162">
      <c r="E162" s="1"/>
    </row>
    <row r="163">
      <c r="E163" s="1"/>
    </row>
    <row r="164">
      <c r="E164" s="1"/>
    </row>
    <row r="165">
      <c r="E165" s="1"/>
    </row>
    <row r="166">
      <c r="E166" s="1"/>
    </row>
    <row r="167">
      <c r="E167" s="1"/>
    </row>
    <row r="168">
      <c r="E168" s="1"/>
    </row>
    <row r="169">
      <c r="E169" s="1"/>
    </row>
    <row r="170">
      <c r="E170" s="1"/>
    </row>
    <row r="171">
      <c r="E171" s="1"/>
    </row>
    <row r="172">
      <c r="E172" s="1"/>
    </row>
    <row r="173">
      <c r="E173" s="1"/>
    </row>
    <row r="174">
      <c r="E174" s="1"/>
    </row>
    <row r="175">
      <c r="E175" s="1"/>
    </row>
    <row r="176">
      <c r="E176" s="1"/>
    </row>
    <row r="177">
      <c r="E177" s="1"/>
    </row>
    <row r="178">
      <c r="E178" s="1"/>
    </row>
    <row r="179">
      <c r="E179" s="1"/>
    </row>
    <row r="180">
      <c r="E180" s="1"/>
    </row>
    <row r="181">
      <c r="E181" s="1"/>
    </row>
    <row r="182">
      <c r="E182" s="1"/>
    </row>
    <row r="183">
      <c r="E183" s="1"/>
    </row>
    <row r="184">
      <c r="E184" s="1"/>
    </row>
    <row r="185">
      <c r="E185" s="1"/>
    </row>
    <row r="186">
      <c r="E186" s="1"/>
    </row>
    <row r="187">
      <c r="E187" s="1"/>
    </row>
    <row r="188">
      <c r="E188" s="1"/>
    </row>
    <row r="189">
      <c r="E189" s="1"/>
    </row>
    <row r="190">
      <c r="E190" s="1"/>
    </row>
    <row r="191">
      <c r="E191" s="1"/>
    </row>
    <row r="192">
      <c r="E192" s="1"/>
    </row>
    <row r="193">
      <c r="E193" s="1"/>
    </row>
    <row r="194">
      <c r="E194" s="1"/>
    </row>
    <row r="195">
      <c r="E195" s="1"/>
    </row>
    <row r="196">
      <c r="E196" s="1"/>
    </row>
    <row r="197">
      <c r="E197" s="1"/>
    </row>
    <row r="198">
      <c r="E198" s="1"/>
    </row>
    <row r="199">
      <c r="E199" s="1"/>
    </row>
    <row r="200">
      <c r="E200" s="1"/>
    </row>
    <row r="201">
      <c r="E201" s="1"/>
    </row>
    <row r="202">
      <c r="E202" s="1"/>
    </row>
    <row r="203">
      <c r="E203" s="1"/>
    </row>
    <row r="204">
      <c r="E204" s="1"/>
    </row>
    <row r="205">
      <c r="E205" s="1"/>
    </row>
    <row r="206">
      <c r="E206" s="1"/>
    </row>
    <row r="207">
      <c r="E207" s="1"/>
    </row>
    <row r="208">
      <c r="E208" s="1"/>
    </row>
    <row r="209">
      <c r="E209" s="1"/>
    </row>
    <row r="210">
      <c r="E210" s="1"/>
    </row>
    <row r="211">
      <c r="E211" s="1"/>
    </row>
    <row r="212">
      <c r="E212" s="1"/>
    </row>
    <row r="213">
      <c r="E213" s="1"/>
    </row>
    <row r="214">
      <c r="E214" s="1"/>
    </row>
    <row r="215">
      <c r="E215" s="1"/>
    </row>
    <row r="216">
      <c r="E216" s="1"/>
    </row>
    <row r="217">
      <c r="E217" s="1"/>
    </row>
    <row r="218">
      <c r="E218" s="1"/>
    </row>
    <row r="219">
      <c r="E219" s="1"/>
    </row>
    <row r="220">
      <c r="E220" s="1"/>
    </row>
    <row r="221">
      <c r="E221" s="1"/>
    </row>
    <row r="222">
      <c r="E222" s="1"/>
    </row>
    <row r="223">
      <c r="E223" s="1"/>
    </row>
    <row r="224">
      <c r="E224" s="1"/>
    </row>
    <row r="225">
      <c r="E225" s="1"/>
    </row>
    <row r="226">
      <c r="E226" s="1"/>
    </row>
    <row r="227">
      <c r="E227" s="1"/>
    </row>
    <row r="228">
      <c r="E228" s="1"/>
    </row>
    <row r="229">
      <c r="E229" s="1"/>
    </row>
    <row r="230">
      <c r="E230" s="1"/>
    </row>
    <row r="231">
      <c r="E231" s="1"/>
    </row>
    <row r="232">
      <c r="E232" s="1"/>
    </row>
    <row r="233">
      <c r="E233" s="1"/>
    </row>
    <row r="234">
      <c r="E234" s="1"/>
    </row>
    <row r="235">
      <c r="E235" s="1"/>
    </row>
    <row r="236">
      <c r="E236" s="1"/>
    </row>
    <row r="237">
      <c r="E237" s="1"/>
    </row>
    <row r="238">
      <c r="E238" s="1"/>
    </row>
    <row r="239">
      <c r="E239" s="1"/>
    </row>
    <row r="240">
      <c r="E240" s="1"/>
    </row>
    <row r="241">
      <c r="E241" s="1"/>
    </row>
    <row r="242">
      <c r="E242" s="1"/>
    </row>
    <row r="243">
      <c r="E243" s="1"/>
    </row>
    <row r="244">
      <c r="E244" s="1"/>
    </row>
    <row r="245">
      <c r="E245" s="1"/>
    </row>
    <row r="246">
      <c r="E246" s="1"/>
    </row>
    <row r="247">
      <c r="E247" s="1"/>
    </row>
    <row r="248">
      <c r="E248" s="1"/>
    </row>
    <row r="249">
      <c r="E249" s="1"/>
    </row>
    <row r="250">
      <c r="E250" s="1"/>
    </row>
    <row r="251">
      <c r="E251" s="1"/>
    </row>
    <row r="252">
      <c r="E252" s="1"/>
    </row>
    <row r="253">
      <c r="E253" s="1"/>
    </row>
    <row r="254">
      <c r="E254" s="1"/>
    </row>
    <row r="255">
      <c r="E255" s="1"/>
    </row>
    <row r="256">
      <c r="E256" s="1"/>
    </row>
    <row r="257">
      <c r="E257" s="1"/>
    </row>
    <row r="258">
      <c r="E258" s="1"/>
    </row>
    <row r="259">
      <c r="E259" s="1"/>
    </row>
    <row r="260">
      <c r="E260" s="1"/>
    </row>
    <row r="261">
      <c r="E261" s="1"/>
    </row>
    <row r="262">
      <c r="E262" s="1"/>
    </row>
    <row r="263">
      <c r="E263" s="1"/>
    </row>
    <row r="264">
      <c r="E264" s="1"/>
    </row>
    <row r="265">
      <c r="E265" s="1"/>
    </row>
    <row r="266">
      <c r="E266" s="1"/>
    </row>
    <row r="267">
      <c r="E267" s="1"/>
    </row>
    <row r="268">
      <c r="E268" s="1"/>
    </row>
    <row r="269">
      <c r="E269" s="1"/>
    </row>
    <row r="270">
      <c r="E270" s="1"/>
    </row>
    <row r="271">
      <c r="E271" s="1"/>
    </row>
    <row r="272">
      <c r="E272" s="1"/>
    </row>
    <row r="273">
      <c r="E273" s="1"/>
    </row>
    <row r="274">
      <c r="E274" s="1"/>
    </row>
    <row r="275">
      <c r="E275" s="1"/>
    </row>
    <row r="276">
      <c r="E276" s="1"/>
    </row>
    <row r="277">
      <c r="E277" s="1"/>
    </row>
    <row r="278">
      <c r="E278" s="1"/>
    </row>
    <row r="279">
      <c r="E279" s="1"/>
    </row>
    <row r="280">
      <c r="E280" s="1"/>
    </row>
    <row r="281">
      <c r="E281" s="1"/>
    </row>
    <row r="282">
      <c r="E282" s="1"/>
    </row>
    <row r="283">
      <c r="E283" s="1"/>
    </row>
    <row r="284">
      <c r="E284" s="1"/>
    </row>
    <row r="285">
      <c r="E285" s="1"/>
    </row>
    <row r="286">
      <c r="E286" s="1"/>
    </row>
    <row r="287">
      <c r="E287" s="1"/>
    </row>
    <row r="288">
      <c r="E288" s="1"/>
    </row>
    <row r="289">
      <c r="E289" s="1"/>
    </row>
    <row r="290">
      <c r="E290" s="1"/>
    </row>
    <row r="291">
      <c r="E291" s="1"/>
    </row>
    <row r="292">
      <c r="E292" s="1"/>
    </row>
    <row r="293">
      <c r="E293" s="1"/>
    </row>
    <row r="294">
      <c r="E294" s="1"/>
    </row>
    <row r="295">
      <c r="E295" s="1"/>
    </row>
    <row r="296">
      <c r="E296" s="1"/>
    </row>
    <row r="297">
      <c r="E297" s="1"/>
    </row>
    <row r="298">
      <c r="E298" s="1"/>
    </row>
    <row r="299">
      <c r="E299" s="1"/>
    </row>
    <row r="300">
      <c r="E300" s="1"/>
    </row>
    <row r="301">
      <c r="E301" s="1"/>
    </row>
    <row r="302">
      <c r="E302" s="1"/>
    </row>
    <row r="303">
      <c r="E303" s="1"/>
    </row>
    <row r="304">
      <c r="E304" s="1"/>
    </row>
    <row r="305">
      <c r="E305" s="1"/>
    </row>
    <row r="306">
      <c r="E306" s="1"/>
    </row>
    <row r="307">
      <c r="E307" s="1"/>
    </row>
    <row r="308">
      <c r="E308" s="1"/>
    </row>
    <row r="309">
      <c r="E309" s="1"/>
    </row>
    <row r="310">
      <c r="E310" s="1"/>
    </row>
    <row r="311">
      <c r="E311" s="1"/>
    </row>
    <row r="312">
      <c r="E312" s="1"/>
    </row>
    <row r="313">
      <c r="E313" s="1"/>
    </row>
    <row r="314">
      <c r="E314" s="1"/>
    </row>
    <row r="315">
      <c r="E315" s="1"/>
    </row>
    <row r="316">
      <c r="E316" s="1"/>
    </row>
    <row r="317">
      <c r="E317" s="1"/>
    </row>
    <row r="318">
      <c r="E318" s="1"/>
    </row>
    <row r="319">
      <c r="E319" s="1"/>
    </row>
    <row r="320">
      <c r="E320" s="1"/>
    </row>
    <row r="321">
      <c r="E321" s="1"/>
    </row>
    <row r="322">
      <c r="E322" s="1"/>
    </row>
    <row r="323">
      <c r="E323" s="1"/>
    </row>
    <row r="324">
      <c r="E324" s="1"/>
    </row>
    <row r="325">
      <c r="E325" s="1"/>
    </row>
    <row r="326">
      <c r="E326" s="1"/>
    </row>
    <row r="327">
      <c r="E327" s="1"/>
    </row>
    <row r="328">
      <c r="E328" s="1"/>
    </row>
    <row r="329">
      <c r="E329" s="1"/>
    </row>
    <row r="330">
      <c r="E330" s="1"/>
    </row>
    <row r="331">
      <c r="E331" s="1"/>
    </row>
    <row r="332">
      <c r="E332" s="1"/>
    </row>
    <row r="333">
      <c r="E333" s="1"/>
    </row>
    <row r="334">
      <c r="E334" s="1"/>
    </row>
    <row r="335">
      <c r="E335" s="1"/>
    </row>
    <row r="336">
      <c r="E336" s="1"/>
    </row>
    <row r="337">
      <c r="E337" s="1"/>
    </row>
    <row r="338">
      <c r="E338" s="1"/>
    </row>
    <row r="339">
      <c r="E339" s="1"/>
    </row>
    <row r="340">
      <c r="E340" s="1"/>
    </row>
    <row r="341">
      <c r="E341" s="1"/>
    </row>
    <row r="342">
      <c r="E342" s="1"/>
    </row>
    <row r="343">
      <c r="E343" s="1"/>
    </row>
    <row r="344">
      <c r="E344" s="1"/>
    </row>
    <row r="345">
      <c r="E345" s="1"/>
    </row>
    <row r="346">
      <c r="E346" s="1"/>
    </row>
    <row r="347">
      <c r="E347" s="1"/>
    </row>
    <row r="348">
      <c r="E348" s="1"/>
    </row>
    <row r="349">
      <c r="E349" s="1"/>
    </row>
    <row r="350">
      <c r="E350" s="1"/>
    </row>
    <row r="351">
      <c r="E351" s="1"/>
    </row>
    <row r="352">
      <c r="E352" s="1"/>
    </row>
    <row r="353">
      <c r="E353" s="1"/>
    </row>
    <row r="354">
      <c r="E354" s="1"/>
    </row>
    <row r="355">
      <c r="E355" s="1"/>
    </row>
    <row r="356">
      <c r="E356" s="1"/>
    </row>
    <row r="357">
      <c r="E357" s="1"/>
    </row>
    <row r="358">
      <c r="E358" s="1"/>
    </row>
    <row r="359">
      <c r="E359" s="1"/>
    </row>
    <row r="360">
      <c r="E360" s="1"/>
    </row>
    <row r="361">
      <c r="E361" s="1"/>
    </row>
    <row r="362">
      <c r="E362" s="1"/>
    </row>
    <row r="363">
      <c r="E363" s="1"/>
    </row>
    <row r="364">
      <c r="E364" s="1"/>
    </row>
    <row r="365">
      <c r="E365" s="1"/>
    </row>
    <row r="366">
      <c r="E366" s="1"/>
    </row>
    <row r="367">
      <c r="E367" s="1"/>
    </row>
    <row r="368">
      <c r="E368" s="1"/>
    </row>
    <row r="369">
      <c r="E369" s="1"/>
    </row>
    <row r="370">
      <c r="E370" s="1"/>
    </row>
    <row r="371">
      <c r="E371" s="1"/>
    </row>
    <row r="372">
      <c r="E372" s="1"/>
    </row>
    <row r="373">
      <c r="E373" s="1"/>
    </row>
    <row r="374">
      <c r="E374" s="1"/>
    </row>
    <row r="375">
      <c r="E375" s="1"/>
    </row>
    <row r="376">
      <c r="E376" s="1"/>
    </row>
    <row r="377">
      <c r="E377" s="1"/>
    </row>
    <row r="378">
      <c r="E378" s="1"/>
    </row>
    <row r="379">
      <c r="E379" s="1"/>
    </row>
    <row r="380">
      <c r="E380" s="1"/>
    </row>
    <row r="381">
      <c r="E381" s="1"/>
    </row>
    <row r="382">
      <c r="E382" s="1"/>
    </row>
    <row r="383">
      <c r="E383" s="1"/>
    </row>
    <row r="384">
      <c r="E384" s="1"/>
    </row>
    <row r="385">
      <c r="E385" s="1"/>
    </row>
    <row r="386">
      <c r="E386" s="1"/>
    </row>
    <row r="387">
      <c r="E387" s="1"/>
    </row>
    <row r="388">
      <c r="E388" s="1"/>
    </row>
    <row r="389">
      <c r="E389" s="1"/>
    </row>
    <row r="390">
      <c r="E390" s="1"/>
    </row>
    <row r="391">
      <c r="E391" s="1"/>
    </row>
    <row r="392">
      <c r="E392" s="1"/>
    </row>
    <row r="393">
      <c r="E393" s="1"/>
    </row>
    <row r="394">
      <c r="E394" s="1"/>
    </row>
    <row r="395">
      <c r="E395" s="1"/>
    </row>
    <row r="396">
      <c r="E396" s="1"/>
    </row>
    <row r="397">
      <c r="E397" s="1"/>
    </row>
    <row r="398">
      <c r="E398" s="1"/>
    </row>
    <row r="399">
      <c r="E399" s="1"/>
    </row>
    <row r="400">
      <c r="E400" s="1"/>
    </row>
    <row r="401">
      <c r="E401" s="1"/>
    </row>
    <row r="402">
      <c r="E402" s="1"/>
    </row>
    <row r="403">
      <c r="E403" s="1"/>
    </row>
    <row r="404">
      <c r="E404" s="1"/>
    </row>
    <row r="405">
      <c r="E405" s="1"/>
    </row>
    <row r="406">
      <c r="E406" s="1"/>
    </row>
    <row r="407">
      <c r="E407" s="1"/>
    </row>
    <row r="408">
      <c r="E408" s="1"/>
    </row>
    <row r="409">
      <c r="E409" s="1"/>
    </row>
    <row r="410">
      <c r="E410" s="1"/>
    </row>
    <row r="411">
      <c r="E411" s="1"/>
    </row>
    <row r="412">
      <c r="E412" s="1"/>
    </row>
    <row r="413">
      <c r="E413" s="1"/>
    </row>
    <row r="414">
      <c r="E414" s="1"/>
    </row>
    <row r="415">
      <c r="E415" s="1"/>
    </row>
    <row r="416">
      <c r="E416" s="1"/>
    </row>
    <row r="417">
      <c r="E417" s="1"/>
    </row>
    <row r="418">
      <c r="E418" s="1"/>
    </row>
    <row r="419">
      <c r="E419" s="1"/>
    </row>
    <row r="420">
      <c r="E420" s="1"/>
    </row>
    <row r="421">
      <c r="E421" s="1"/>
    </row>
    <row r="422">
      <c r="E422" s="1"/>
    </row>
    <row r="423">
      <c r="E423" s="1"/>
    </row>
    <row r="424">
      <c r="E424" s="1"/>
    </row>
    <row r="425">
      <c r="E425" s="1"/>
    </row>
    <row r="426">
      <c r="E426" s="1"/>
    </row>
    <row r="427">
      <c r="E427" s="1"/>
    </row>
    <row r="428">
      <c r="E428" s="1"/>
    </row>
    <row r="429">
      <c r="E429" s="1"/>
    </row>
    <row r="430">
      <c r="E430" s="1"/>
    </row>
    <row r="431">
      <c r="E431" s="1"/>
    </row>
    <row r="432">
      <c r="E432" s="1"/>
    </row>
    <row r="433">
      <c r="E433" s="1"/>
    </row>
    <row r="434">
      <c r="E434" s="1"/>
    </row>
    <row r="435">
      <c r="E435" s="1"/>
    </row>
    <row r="436">
      <c r="E436" s="1"/>
    </row>
    <row r="437">
      <c r="E437" s="1"/>
    </row>
    <row r="438">
      <c r="E438" s="1"/>
    </row>
    <row r="439">
      <c r="E439" s="1"/>
    </row>
    <row r="440">
      <c r="E440" s="1"/>
    </row>
    <row r="441">
      <c r="E441" s="1"/>
    </row>
    <row r="442">
      <c r="E442" s="1"/>
    </row>
    <row r="443">
      <c r="E443" s="1"/>
    </row>
    <row r="444">
      <c r="E444" s="1"/>
    </row>
    <row r="445">
      <c r="E445" s="1"/>
    </row>
    <row r="446">
      <c r="E446" s="1"/>
    </row>
    <row r="447">
      <c r="E447" s="1"/>
    </row>
    <row r="448">
      <c r="E448" s="1"/>
    </row>
    <row r="449">
      <c r="E449" s="1"/>
    </row>
    <row r="450">
      <c r="E450" s="1"/>
    </row>
    <row r="451">
      <c r="E451" s="1"/>
    </row>
    <row r="452">
      <c r="E452" s="1"/>
    </row>
    <row r="453">
      <c r="E453" s="1"/>
    </row>
    <row r="454">
      <c r="E454" s="1"/>
    </row>
    <row r="455">
      <c r="E455" s="1"/>
    </row>
    <row r="456">
      <c r="E456" s="1"/>
    </row>
    <row r="457">
      <c r="E457" s="1"/>
    </row>
    <row r="458">
      <c r="E458" s="1"/>
    </row>
    <row r="459">
      <c r="E459" s="1"/>
    </row>
    <row r="460">
      <c r="E460" s="1"/>
    </row>
    <row r="461">
      <c r="E461" s="1"/>
    </row>
    <row r="462">
      <c r="E462" s="1"/>
    </row>
    <row r="463">
      <c r="E463" s="1"/>
    </row>
    <row r="464">
      <c r="E464" s="1"/>
    </row>
    <row r="465">
      <c r="E465" s="1"/>
    </row>
    <row r="466">
      <c r="E466" s="1"/>
    </row>
    <row r="467">
      <c r="E467" s="1"/>
    </row>
    <row r="468">
      <c r="E468" s="1"/>
    </row>
    <row r="469">
      <c r="E469" s="1"/>
    </row>
    <row r="470">
      <c r="E470" s="1"/>
    </row>
    <row r="471">
      <c r="E471" s="1"/>
    </row>
    <row r="472">
      <c r="E472" s="1"/>
    </row>
    <row r="473">
      <c r="E473" s="1"/>
    </row>
    <row r="474">
      <c r="E474" s="1"/>
    </row>
    <row r="475">
      <c r="E475" s="1"/>
    </row>
    <row r="476">
      <c r="E476" s="1"/>
    </row>
    <row r="477">
      <c r="E477" s="1"/>
    </row>
    <row r="478">
      <c r="E478" s="1"/>
    </row>
    <row r="479">
      <c r="E479" s="1"/>
    </row>
    <row r="480">
      <c r="E480" s="1"/>
    </row>
    <row r="481">
      <c r="E481" s="1"/>
    </row>
    <row r="482">
      <c r="E482" s="1"/>
    </row>
    <row r="483">
      <c r="E483" s="1"/>
    </row>
    <row r="484">
      <c r="E484" s="1"/>
    </row>
    <row r="485">
      <c r="E485" s="1"/>
    </row>
    <row r="486">
      <c r="E486" s="1"/>
    </row>
    <row r="487">
      <c r="E487" s="1"/>
    </row>
    <row r="488">
      <c r="E488" s="1"/>
    </row>
    <row r="489">
      <c r="E489" s="1"/>
    </row>
    <row r="490">
      <c r="E490" s="1"/>
    </row>
    <row r="491">
      <c r="E491" s="1"/>
    </row>
    <row r="492">
      <c r="E492" s="1"/>
    </row>
    <row r="493">
      <c r="E493" s="1"/>
    </row>
    <row r="494">
      <c r="E494" s="1"/>
    </row>
    <row r="495">
      <c r="E495" s="1"/>
    </row>
    <row r="496">
      <c r="E496" s="1"/>
    </row>
    <row r="497">
      <c r="E497" s="1"/>
    </row>
    <row r="498">
      <c r="E498" s="1"/>
    </row>
    <row r="499">
      <c r="E499" s="1"/>
    </row>
    <row r="500">
      <c r="E500" s="1"/>
    </row>
    <row r="501">
      <c r="E501" s="1"/>
    </row>
    <row r="502">
      <c r="E502" s="1"/>
    </row>
    <row r="503">
      <c r="E503" s="1"/>
    </row>
    <row r="504">
      <c r="E504" s="1"/>
    </row>
    <row r="505">
      <c r="E505" s="1"/>
    </row>
    <row r="506">
      <c r="E506" s="1"/>
    </row>
    <row r="507">
      <c r="E507" s="1"/>
    </row>
    <row r="508">
      <c r="E508" s="1"/>
    </row>
    <row r="509">
      <c r="E509" s="1"/>
    </row>
    <row r="510">
      <c r="E510" s="1"/>
    </row>
    <row r="511">
      <c r="E511" s="1"/>
    </row>
    <row r="512">
      <c r="E512" s="1"/>
    </row>
    <row r="513">
      <c r="E513" s="1"/>
    </row>
    <row r="514">
      <c r="E514" s="1"/>
    </row>
    <row r="515">
      <c r="E515" s="1"/>
    </row>
    <row r="516">
      <c r="E516" s="1"/>
    </row>
    <row r="517">
      <c r="E517" s="1"/>
    </row>
    <row r="518">
      <c r="E518" s="1"/>
    </row>
    <row r="519">
      <c r="E519" s="1"/>
    </row>
    <row r="520">
      <c r="E520" s="1"/>
    </row>
    <row r="521">
      <c r="E521" s="1"/>
    </row>
    <row r="522">
      <c r="E522" s="1"/>
    </row>
    <row r="523">
      <c r="E523" s="1"/>
    </row>
    <row r="524">
      <c r="E524" s="1"/>
    </row>
    <row r="525">
      <c r="E525" s="1"/>
    </row>
    <row r="526">
      <c r="E526" s="1"/>
    </row>
    <row r="527">
      <c r="E527" s="1"/>
    </row>
    <row r="528">
      <c r="E528" s="1"/>
    </row>
    <row r="529">
      <c r="E529" s="1"/>
    </row>
    <row r="530">
      <c r="E530" s="1"/>
    </row>
    <row r="531">
      <c r="E531" s="1"/>
    </row>
    <row r="532">
      <c r="E532" s="1"/>
    </row>
    <row r="533">
      <c r="E533" s="1"/>
    </row>
    <row r="534">
      <c r="E534" s="1"/>
    </row>
    <row r="535">
      <c r="E535" s="1"/>
    </row>
    <row r="536">
      <c r="E536" s="1"/>
    </row>
    <row r="537">
      <c r="E537" s="1"/>
    </row>
    <row r="538">
      <c r="E538" s="1"/>
    </row>
    <row r="539">
      <c r="E539" s="1"/>
    </row>
    <row r="540">
      <c r="E540" s="1"/>
    </row>
    <row r="541">
      <c r="E541" s="1"/>
    </row>
    <row r="542">
      <c r="E542" s="1"/>
    </row>
    <row r="543">
      <c r="E543" s="1"/>
    </row>
    <row r="544">
      <c r="E544" s="1"/>
    </row>
    <row r="545">
      <c r="E545" s="1"/>
    </row>
    <row r="546">
      <c r="E546" s="1"/>
    </row>
    <row r="547">
      <c r="E547" s="1"/>
    </row>
    <row r="548">
      <c r="E548" s="1"/>
    </row>
    <row r="549">
      <c r="E549" s="1"/>
    </row>
    <row r="550">
      <c r="E550" s="1"/>
    </row>
    <row r="551">
      <c r="E551" s="1"/>
    </row>
    <row r="552">
      <c r="E552" s="1"/>
    </row>
    <row r="553">
      <c r="E553" s="1"/>
    </row>
    <row r="554">
      <c r="E554" s="1"/>
    </row>
    <row r="555">
      <c r="E555" s="1"/>
    </row>
    <row r="556">
      <c r="E556" s="1"/>
    </row>
    <row r="557">
      <c r="E557" s="1"/>
    </row>
    <row r="558">
      <c r="E558" s="1"/>
    </row>
    <row r="559">
      <c r="E559" s="1"/>
    </row>
    <row r="560">
      <c r="E560" s="1"/>
    </row>
    <row r="561">
      <c r="E561" s="1"/>
    </row>
    <row r="562">
      <c r="E562" s="1"/>
    </row>
    <row r="563">
      <c r="E563" s="1"/>
    </row>
    <row r="564">
      <c r="E564" s="1"/>
    </row>
    <row r="565">
      <c r="E565" s="1"/>
    </row>
    <row r="566">
      <c r="E566" s="1"/>
    </row>
    <row r="567">
      <c r="E567" s="1"/>
    </row>
    <row r="568">
      <c r="E568" s="1"/>
    </row>
    <row r="569">
      <c r="E569" s="1"/>
    </row>
    <row r="570">
      <c r="E570" s="1"/>
    </row>
    <row r="571">
      <c r="E571" s="1"/>
    </row>
    <row r="572">
      <c r="E572" s="1"/>
    </row>
    <row r="573">
      <c r="E573" s="1"/>
    </row>
    <row r="574">
      <c r="E574" s="1"/>
    </row>
    <row r="575">
      <c r="E575" s="1"/>
    </row>
    <row r="576">
      <c r="E576" s="1"/>
    </row>
    <row r="577">
      <c r="E577" s="1"/>
    </row>
    <row r="578">
      <c r="E578" s="1"/>
    </row>
    <row r="579">
      <c r="E579" s="1"/>
    </row>
    <row r="580">
      <c r="E580" s="1"/>
    </row>
    <row r="581">
      <c r="E581" s="1"/>
    </row>
    <row r="582">
      <c r="E582" s="1"/>
    </row>
    <row r="583">
      <c r="E583" s="1"/>
    </row>
    <row r="584">
      <c r="E584" s="1"/>
    </row>
    <row r="585">
      <c r="E585" s="1"/>
    </row>
    <row r="586">
      <c r="E586" s="1"/>
    </row>
    <row r="587">
      <c r="E587" s="1"/>
    </row>
    <row r="588">
      <c r="E588" s="1"/>
    </row>
    <row r="589">
      <c r="E589" s="1"/>
    </row>
    <row r="590">
      <c r="E590" s="1"/>
    </row>
    <row r="591">
      <c r="E591" s="1"/>
    </row>
    <row r="592">
      <c r="E592" s="1"/>
    </row>
    <row r="593">
      <c r="E593" s="1"/>
    </row>
    <row r="594">
      <c r="E594" s="1"/>
    </row>
    <row r="595">
      <c r="E595" s="1"/>
    </row>
    <row r="596">
      <c r="E596" s="1"/>
    </row>
    <row r="597">
      <c r="E597" s="1"/>
    </row>
    <row r="598">
      <c r="E598" s="1"/>
    </row>
    <row r="599">
      <c r="E599" s="1"/>
    </row>
    <row r="600">
      <c r="E600" s="1"/>
    </row>
    <row r="601">
      <c r="E601" s="1"/>
    </row>
    <row r="602">
      <c r="E602" s="1"/>
    </row>
    <row r="603">
      <c r="E603" s="1"/>
    </row>
    <row r="604">
      <c r="E604" s="1"/>
    </row>
    <row r="605">
      <c r="E605" s="1"/>
    </row>
    <row r="606">
      <c r="E606" s="1"/>
    </row>
    <row r="607">
      <c r="E607" s="1"/>
    </row>
    <row r="608">
      <c r="E608" s="1"/>
    </row>
    <row r="609">
      <c r="E609" s="1"/>
    </row>
    <row r="610">
      <c r="E610" s="1"/>
    </row>
    <row r="611">
      <c r="E611" s="1"/>
    </row>
    <row r="612">
      <c r="E612" s="1"/>
    </row>
    <row r="613">
      <c r="E613" s="1"/>
    </row>
    <row r="614">
      <c r="E614" s="1"/>
    </row>
    <row r="615">
      <c r="E615" s="1"/>
    </row>
    <row r="616">
      <c r="E616" s="1"/>
    </row>
    <row r="617">
      <c r="E617" s="1"/>
    </row>
    <row r="618">
      <c r="E618" s="1"/>
    </row>
    <row r="619">
      <c r="E619" s="1"/>
    </row>
    <row r="620">
      <c r="E620" s="1"/>
    </row>
    <row r="621">
      <c r="E621" s="1"/>
    </row>
    <row r="622">
      <c r="E622" s="1"/>
    </row>
    <row r="623">
      <c r="E623" s="1"/>
    </row>
    <row r="624">
      <c r="E624" s="1"/>
    </row>
    <row r="625">
      <c r="E625" s="1"/>
    </row>
    <row r="626">
      <c r="E626" s="1"/>
    </row>
    <row r="627">
      <c r="E627" s="1"/>
    </row>
    <row r="628">
      <c r="E628" s="1"/>
    </row>
    <row r="629">
      <c r="E629" s="1"/>
    </row>
    <row r="630">
      <c r="E630" s="1"/>
    </row>
    <row r="631">
      <c r="E631" s="1"/>
    </row>
    <row r="632">
      <c r="E632" s="1"/>
    </row>
    <row r="633">
      <c r="E633" s="1"/>
    </row>
    <row r="634">
      <c r="E634" s="1"/>
    </row>
    <row r="635">
      <c r="E635" s="1"/>
    </row>
    <row r="636">
      <c r="E636" s="1"/>
    </row>
    <row r="637">
      <c r="E637" s="1"/>
    </row>
    <row r="638">
      <c r="E638" s="1"/>
    </row>
    <row r="639">
      <c r="E639" s="1"/>
    </row>
    <row r="640">
      <c r="E640" s="1"/>
    </row>
    <row r="641">
      <c r="E641" s="1"/>
    </row>
    <row r="642">
      <c r="E642" s="1"/>
    </row>
    <row r="643">
      <c r="E643" s="1"/>
    </row>
    <row r="644">
      <c r="E644" s="1"/>
    </row>
    <row r="645">
      <c r="E645" s="1"/>
    </row>
    <row r="646">
      <c r="E646" s="1"/>
    </row>
    <row r="647">
      <c r="E647" s="1"/>
    </row>
    <row r="648">
      <c r="E648" s="1"/>
    </row>
    <row r="649">
      <c r="E649" s="1"/>
    </row>
    <row r="650">
      <c r="E650" s="1"/>
    </row>
    <row r="651">
      <c r="E651" s="1"/>
    </row>
    <row r="652">
      <c r="E652" s="1"/>
    </row>
    <row r="653">
      <c r="E653" s="1"/>
    </row>
    <row r="654">
      <c r="E654" s="1"/>
    </row>
    <row r="655">
      <c r="E655" s="1"/>
    </row>
    <row r="656">
      <c r="E656" s="1"/>
    </row>
    <row r="657">
      <c r="E657" s="1"/>
    </row>
    <row r="658">
      <c r="E658" s="1"/>
    </row>
    <row r="659">
      <c r="E659" s="1"/>
    </row>
    <row r="660">
      <c r="E660" s="1"/>
    </row>
    <row r="661">
      <c r="E661" s="1"/>
    </row>
    <row r="662">
      <c r="E662" s="1"/>
    </row>
    <row r="663">
      <c r="E663" s="1"/>
    </row>
    <row r="664">
      <c r="E664" s="1"/>
    </row>
    <row r="665">
      <c r="E665" s="1"/>
    </row>
    <row r="666">
      <c r="E666" s="1"/>
    </row>
    <row r="667">
      <c r="E667" s="1"/>
    </row>
    <row r="668">
      <c r="E668" s="1"/>
    </row>
    <row r="669">
      <c r="E669" s="1"/>
    </row>
    <row r="670">
      <c r="E670" s="1"/>
    </row>
    <row r="671">
      <c r="E671" s="1"/>
    </row>
    <row r="672">
      <c r="E672" s="1"/>
    </row>
    <row r="673">
      <c r="E673" s="1"/>
    </row>
    <row r="674">
      <c r="E674" s="1"/>
    </row>
    <row r="675">
      <c r="E675" s="1"/>
    </row>
    <row r="676">
      <c r="E676" s="1"/>
    </row>
    <row r="677">
      <c r="E677" s="1"/>
    </row>
    <row r="678">
      <c r="E678" s="1"/>
    </row>
    <row r="679">
      <c r="E679" s="1"/>
    </row>
    <row r="680">
      <c r="E680" s="1"/>
    </row>
    <row r="681">
      <c r="E681" s="1"/>
    </row>
    <row r="682">
      <c r="E682" s="1"/>
    </row>
    <row r="683">
      <c r="E683" s="1"/>
    </row>
    <row r="684">
      <c r="E684" s="1"/>
    </row>
    <row r="685">
      <c r="E685" s="1"/>
    </row>
    <row r="686">
      <c r="E686" s="1"/>
    </row>
    <row r="687">
      <c r="E687" s="1"/>
    </row>
    <row r="688">
      <c r="E688" s="1"/>
    </row>
    <row r="689">
      <c r="E689" s="1"/>
    </row>
    <row r="690">
      <c r="E690" s="1"/>
    </row>
    <row r="691">
      <c r="E691" s="1"/>
    </row>
    <row r="692">
      <c r="E692" s="1"/>
    </row>
    <row r="693">
      <c r="E693" s="1"/>
    </row>
    <row r="694">
      <c r="E694" s="1"/>
    </row>
    <row r="695">
      <c r="E695" s="1"/>
    </row>
    <row r="696">
      <c r="E696" s="1"/>
    </row>
    <row r="697">
      <c r="E697" s="1"/>
    </row>
    <row r="698">
      <c r="E698" s="1"/>
    </row>
    <row r="699">
      <c r="E699" s="1"/>
    </row>
    <row r="700">
      <c r="E700" s="1"/>
    </row>
    <row r="701">
      <c r="E701" s="1"/>
    </row>
    <row r="702">
      <c r="E702" s="1"/>
    </row>
    <row r="703">
      <c r="E703" s="1"/>
    </row>
    <row r="704">
      <c r="E704" s="1"/>
    </row>
    <row r="705">
      <c r="E705" s="1"/>
    </row>
    <row r="706">
      <c r="E706" s="1"/>
    </row>
    <row r="707">
      <c r="E707" s="1"/>
    </row>
    <row r="708">
      <c r="E708" s="1"/>
    </row>
    <row r="709">
      <c r="E709" s="1"/>
    </row>
    <row r="710">
      <c r="E710" s="1"/>
    </row>
    <row r="711">
      <c r="E711" s="1"/>
    </row>
    <row r="712">
      <c r="E712" s="1"/>
    </row>
    <row r="713">
      <c r="E713" s="1"/>
    </row>
    <row r="714">
      <c r="E714" s="1"/>
    </row>
    <row r="715">
      <c r="E715" s="1"/>
    </row>
    <row r="716">
      <c r="E716" s="1"/>
    </row>
    <row r="717">
      <c r="E717" s="1"/>
    </row>
    <row r="718">
      <c r="E718" s="1"/>
    </row>
    <row r="719">
      <c r="E719" s="1"/>
    </row>
    <row r="720">
      <c r="E720" s="1"/>
    </row>
    <row r="721">
      <c r="E721" s="1"/>
    </row>
    <row r="722">
      <c r="E722" s="1"/>
    </row>
    <row r="723">
      <c r="E723" s="1"/>
    </row>
    <row r="724">
      <c r="E724" s="1"/>
    </row>
    <row r="725">
      <c r="E725" s="1"/>
    </row>
    <row r="726">
      <c r="E726" s="1"/>
    </row>
    <row r="727">
      <c r="E727" s="1"/>
    </row>
    <row r="728">
      <c r="E728" s="1"/>
    </row>
    <row r="729">
      <c r="E729" s="1"/>
    </row>
    <row r="730">
      <c r="E730" s="1"/>
    </row>
    <row r="731">
      <c r="E731" s="1"/>
    </row>
    <row r="732">
      <c r="E732" s="1"/>
    </row>
    <row r="733">
      <c r="E733" s="1"/>
    </row>
    <row r="734">
      <c r="E734" s="1"/>
    </row>
    <row r="735">
      <c r="E735" s="1"/>
    </row>
    <row r="736">
      <c r="E736" s="1"/>
    </row>
    <row r="737">
      <c r="E737" s="1"/>
    </row>
    <row r="738">
      <c r="E738" s="1"/>
    </row>
    <row r="739">
      <c r="E739" s="1"/>
    </row>
    <row r="740">
      <c r="E740" s="1"/>
    </row>
    <row r="741">
      <c r="E741" s="1"/>
    </row>
    <row r="742">
      <c r="E742" s="1"/>
    </row>
    <row r="743">
      <c r="E743" s="1"/>
    </row>
    <row r="744">
      <c r="E744" s="1"/>
    </row>
    <row r="745">
      <c r="E745" s="1"/>
    </row>
    <row r="746">
      <c r="E746" s="1"/>
    </row>
    <row r="747">
      <c r="E747" s="1"/>
    </row>
    <row r="748">
      <c r="E748" s="1"/>
    </row>
    <row r="749">
      <c r="E749" s="1"/>
    </row>
    <row r="750">
      <c r="E750" s="1"/>
    </row>
    <row r="751">
      <c r="E751" s="1"/>
    </row>
    <row r="752">
      <c r="E752" s="1"/>
    </row>
    <row r="753">
      <c r="E753" s="1"/>
    </row>
    <row r="754">
      <c r="E754" s="1"/>
    </row>
    <row r="755">
      <c r="E755" s="1"/>
    </row>
    <row r="756">
      <c r="E756" s="1"/>
    </row>
    <row r="757">
      <c r="E757" s="1"/>
    </row>
    <row r="758">
      <c r="E758" s="1"/>
    </row>
    <row r="759">
      <c r="E759" s="1"/>
    </row>
    <row r="760">
      <c r="E760" s="1"/>
    </row>
    <row r="761">
      <c r="E761" s="1"/>
    </row>
    <row r="762">
      <c r="E762" s="1"/>
    </row>
    <row r="763">
      <c r="E763" s="1"/>
    </row>
    <row r="764">
      <c r="E764" s="1"/>
    </row>
    <row r="765">
      <c r="E765" s="1"/>
    </row>
    <row r="766">
      <c r="E766" s="1"/>
    </row>
    <row r="767">
      <c r="E767" s="1"/>
    </row>
    <row r="768">
      <c r="E768" s="1"/>
    </row>
    <row r="769">
      <c r="E769" s="1"/>
    </row>
    <row r="770">
      <c r="E770" s="1"/>
    </row>
    <row r="771">
      <c r="E771" s="1"/>
    </row>
    <row r="772">
      <c r="E772" s="1"/>
    </row>
    <row r="773">
      <c r="E773" s="1"/>
    </row>
    <row r="774">
      <c r="E774" s="1"/>
    </row>
    <row r="775">
      <c r="E775" s="1"/>
    </row>
    <row r="776">
      <c r="E776" s="1"/>
    </row>
    <row r="777">
      <c r="E777" s="1"/>
    </row>
    <row r="778">
      <c r="E778" s="1"/>
    </row>
    <row r="779">
      <c r="E779" s="1"/>
    </row>
    <row r="780">
      <c r="E780" s="1"/>
    </row>
    <row r="781">
      <c r="E781" s="1"/>
    </row>
    <row r="782">
      <c r="E782" s="1"/>
    </row>
    <row r="783">
      <c r="E783" s="1"/>
    </row>
    <row r="784">
      <c r="E784" s="1"/>
    </row>
    <row r="785">
      <c r="E785" s="1"/>
    </row>
    <row r="786">
      <c r="E786" s="1"/>
    </row>
    <row r="787">
      <c r="E787" s="1"/>
    </row>
    <row r="788">
      <c r="E788" s="1"/>
    </row>
    <row r="789">
      <c r="E789" s="1"/>
    </row>
    <row r="790">
      <c r="E790" s="1"/>
    </row>
    <row r="791">
      <c r="E791" s="1"/>
    </row>
    <row r="792">
      <c r="E792" s="1"/>
    </row>
    <row r="793">
      <c r="E793" s="1"/>
    </row>
    <row r="794">
      <c r="E794" s="1"/>
    </row>
    <row r="795">
      <c r="E795" s="1"/>
    </row>
    <row r="796">
      <c r="E796" s="1"/>
    </row>
    <row r="797">
      <c r="E797" s="1"/>
    </row>
    <row r="798">
      <c r="E798" s="1"/>
    </row>
    <row r="799">
      <c r="E799" s="1"/>
    </row>
    <row r="800">
      <c r="E800" s="1"/>
    </row>
    <row r="801">
      <c r="E801" s="1"/>
    </row>
    <row r="802">
      <c r="E802" s="1"/>
    </row>
    <row r="803">
      <c r="E803" s="1"/>
    </row>
    <row r="804">
      <c r="E804" s="1"/>
    </row>
    <row r="805">
      <c r="E805" s="1"/>
    </row>
    <row r="806">
      <c r="E806" s="1"/>
    </row>
    <row r="807">
      <c r="E807" s="1"/>
    </row>
    <row r="808">
      <c r="E808" s="1"/>
    </row>
    <row r="809">
      <c r="E809" s="1"/>
    </row>
    <row r="810">
      <c r="E810" s="1"/>
    </row>
    <row r="811">
      <c r="E811" s="1"/>
    </row>
    <row r="812">
      <c r="E812" s="1"/>
    </row>
    <row r="813">
      <c r="E813" s="1"/>
    </row>
    <row r="814">
      <c r="E814" s="1"/>
    </row>
    <row r="815">
      <c r="E815" s="1"/>
    </row>
    <row r="816">
      <c r="E816" s="1"/>
    </row>
    <row r="817">
      <c r="E817" s="1"/>
    </row>
    <row r="818">
      <c r="E818" s="1"/>
    </row>
    <row r="819">
      <c r="E819" s="1"/>
    </row>
    <row r="820">
      <c r="E820" s="1"/>
    </row>
    <row r="821">
      <c r="E821" s="1"/>
    </row>
    <row r="822">
      <c r="E822" s="1"/>
    </row>
    <row r="823">
      <c r="E823" s="1"/>
    </row>
    <row r="824">
      <c r="E824" s="1"/>
    </row>
    <row r="825">
      <c r="E825" s="1"/>
    </row>
    <row r="826">
      <c r="E826" s="1"/>
    </row>
    <row r="827">
      <c r="E827" s="1"/>
    </row>
    <row r="828">
      <c r="E828" s="1"/>
    </row>
    <row r="829">
      <c r="E829" s="1"/>
    </row>
    <row r="830">
      <c r="E830" s="1"/>
    </row>
    <row r="831">
      <c r="E831" s="1"/>
    </row>
    <row r="832">
      <c r="E832" s="1"/>
    </row>
    <row r="833">
      <c r="E833" s="1"/>
    </row>
    <row r="834">
      <c r="E834" s="1"/>
    </row>
    <row r="835">
      <c r="E835" s="1"/>
    </row>
    <row r="836">
      <c r="E836" s="1"/>
    </row>
    <row r="837">
      <c r="E837" s="1"/>
    </row>
    <row r="838">
      <c r="E838" s="1"/>
    </row>
    <row r="839">
      <c r="E839" s="1"/>
    </row>
    <row r="840">
      <c r="E840" s="1"/>
    </row>
    <row r="841">
      <c r="E841" s="1"/>
    </row>
    <row r="842">
      <c r="E842" s="1"/>
    </row>
    <row r="843">
      <c r="E843" s="1"/>
    </row>
    <row r="844">
      <c r="E844" s="1"/>
    </row>
    <row r="845">
      <c r="E845" s="1"/>
    </row>
    <row r="846">
      <c r="E846" s="1"/>
    </row>
    <row r="847">
      <c r="E847" s="1"/>
    </row>
    <row r="848">
      <c r="E848" s="1"/>
    </row>
    <row r="849">
      <c r="E849" s="1"/>
    </row>
    <row r="850">
      <c r="E850" s="1"/>
    </row>
    <row r="851">
      <c r="E851" s="1"/>
    </row>
    <row r="852">
      <c r="E852" s="1"/>
    </row>
    <row r="853">
      <c r="E853" s="1"/>
    </row>
    <row r="854">
      <c r="E854" s="1"/>
    </row>
    <row r="855">
      <c r="E855" s="1"/>
    </row>
    <row r="856">
      <c r="E856" s="1"/>
    </row>
    <row r="857">
      <c r="E857" s="1"/>
    </row>
    <row r="858">
      <c r="E858" s="1"/>
    </row>
    <row r="859">
      <c r="E859" s="1"/>
    </row>
    <row r="860">
      <c r="E860" s="1"/>
    </row>
    <row r="861">
      <c r="E861" s="1"/>
    </row>
    <row r="862">
      <c r="E862" s="1"/>
    </row>
    <row r="863">
      <c r="E863" s="1"/>
    </row>
    <row r="864">
      <c r="E864" s="1"/>
    </row>
    <row r="865">
      <c r="E865" s="1"/>
    </row>
    <row r="866">
      <c r="E866" s="1"/>
    </row>
    <row r="867">
      <c r="E867" s="1"/>
    </row>
    <row r="868">
      <c r="E868" s="1"/>
    </row>
    <row r="869">
      <c r="E869" s="1"/>
    </row>
    <row r="870">
      <c r="E870" s="1"/>
    </row>
    <row r="871">
      <c r="E871" s="1"/>
    </row>
    <row r="872">
      <c r="E872" s="1"/>
    </row>
    <row r="873">
      <c r="E873" s="1"/>
    </row>
    <row r="874">
      <c r="E874" s="1"/>
    </row>
    <row r="875">
      <c r="E875" s="1"/>
    </row>
    <row r="876">
      <c r="E876" s="1"/>
    </row>
    <row r="877">
      <c r="E877" s="1"/>
    </row>
    <row r="878">
      <c r="E878" s="1"/>
    </row>
    <row r="879">
      <c r="E879" s="1"/>
    </row>
    <row r="880">
      <c r="E880" s="1"/>
    </row>
    <row r="881">
      <c r="E881" s="1"/>
    </row>
    <row r="882">
      <c r="E882" s="1"/>
    </row>
    <row r="883">
      <c r="E883" s="1"/>
    </row>
    <row r="884">
      <c r="E884" s="1"/>
    </row>
    <row r="885">
      <c r="E885" s="1"/>
    </row>
    <row r="886">
      <c r="E886" s="1"/>
    </row>
    <row r="887">
      <c r="E887" s="1"/>
    </row>
    <row r="888">
      <c r="E888" s="1"/>
    </row>
    <row r="889">
      <c r="E889" s="1"/>
    </row>
    <row r="890">
      <c r="E890" s="1"/>
    </row>
    <row r="891">
      <c r="E891" s="1"/>
    </row>
    <row r="892">
      <c r="E892" s="1"/>
    </row>
    <row r="893">
      <c r="E893" s="1"/>
    </row>
    <row r="894">
      <c r="E894" s="1"/>
    </row>
    <row r="895">
      <c r="E895" s="1"/>
    </row>
    <row r="896">
      <c r="E896" s="1"/>
    </row>
    <row r="897">
      <c r="E897" s="1"/>
    </row>
    <row r="898">
      <c r="E898" s="1"/>
    </row>
    <row r="899">
      <c r="E899" s="1"/>
    </row>
    <row r="900">
      <c r="E900" s="1"/>
    </row>
    <row r="901">
      <c r="E901" s="1"/>
    </row>
    <row r="902">
      <c r="E902" s="1"/>
    </row>
    <row r="903">
      <c r="E903" s="1"/>
    </row>
    <row r="904">
      <c r="E904" s="1"/>
    </row>
    <row r="905">
      <c r="E905" s="1"/>
    </row>
    <row r="906">
      <c r="E906" s="1"/>
    </row>
    <row r="907">
      <c r="E907" s="1"/>
    </row>
    <row r="908">
      <c r="E908" s="1"/>
    </row>
    <row r="909">
      <c r="E909" s="1"/>
    </row>
    <row r="910">
      <c r="E910" s="1"/>
    </row>
    <row r="911">
      <c r="E911" s="1"/>
    </row>
    <row r="912">
      <c r="E912" s="1"/>
    </row>
    <row r="913">
      <c r="E913" s="1"/>
    </row>
    <row r="914">
      <c r="E914" s="1"/>
    </row>
    <row r="915">
      <c r="E915" s="1"/>
    </row>
    <row r="916">
      <c r="E916" s="1"/>
    </row>
    <row r="917">
      <c r="E917" s="1"/>
    </row>
    <row r="918">
      <c r="E918" s="1"/>
    </row>
    <row r="919">
      <c r="E919" s="1"/>
    </row>
    <row r="920">
      <c r="E920" s="1"/>
    </row>
    <row r="921">
      <c r="E921" s="1"/>
    </row>
    <row r="922">
      <c r="E922" s="1"/>
    </row>
    <row r="923">
      <c r="E923" s="1"/>
    </row>
    <row r="924">
      <c r="E924" s="1"/>
    </row>
    <row r="925">
      <c r="E925" s="1"/>
    </row>
    <row r="926">
      <c r="E926" s="1"/>
    </row>
    <row r="927">
      <c r="E927" s="1"/>
    </row>
    <row r="928">
      <c r="E928" s="1"/>
    </row>
    <row r="929">
      <c r="E929" s="1"/>
    </row>
    <row r="930">
      <c r="E930" s="1"/>
    </row>
    <row r="931">
      <c r="E931" s="1"/>
    </row>
    <row r="932">
      <c r="E932" s="1"/>
    </row>
    <row r="933">
      <c r="E933" s="1"/>
    </row>
    <row r="934">
      <c r="E934" s="1"/>
    </row>
    <row r="935">
      <c r="E935" s="1"/>
    </row>
    <row r="936">
      <c r="E936" s="1"/>
    </row>
    <row r="937">
      <c r="E937" s="1"/>
    </row>
    <row r="938">
      <c r="E938" s="1"/>
    </row>
    <row r="939">
      <c r="E939" s="1"/>
    </row>
    <row r="940">
      <c r="E940" s="1"/>
    </row>
    <row r="941">
      <c r="E941" s="1"/>
    </row>
    <row r="942">
      <c r="E942" s="1"/>
    </row>
    <row r="943">
      <c r="E943" s="1"/>
    </row>
    <row r="944">
      <c r="E944" s="1"/>
    </row>
    <row r="945">
      <c r="E945" s="1"/>
    </row>
    <row r="946">
      <c r="E946" s="1"/>
    </row>
    <row r="947">
      <c r="E947" s="1"/>
    </row>
    <row r="948">
      <c r="E948" s="1"/>
    </row>
    <row r="949">
      <c r="E949" s="1"/>
    </row>
    <row r="950">
      <c r="E950" s="1"/>
    </row>
    <row r="951">
      <c r="E951" s="1"/>
    </row>
    <row r="952">
      <c r="E952" s="1"/>
    </row>
    <row r="953">
      <c r="E953" s="1"/>
    </row>
    <row r="954">
      <c r="E954" s="1"/>
    </row>
    <row r="955">
      <c r="E955" s="1"/>
    </row>
    <row r="956">
      <c r="E956" s="1"/>
    </row>
    <row r="957">
      <c r="E957" s="1"/>
    </row>
    <row r="958">
      <c r="E958" s="1"/>
    </row>
    <row r="959">
      <c r="E959" s="1"/>
    </row>
    <row r="960">
      <c r="E960" s="1"/>
    </row>
    <row r="961">
      <c r="E961" s="1"/>
    </row>
    <row r="962">
      <c r="E962" s="1"/>
    </row>
    <row r="963">
      <c r="E963" s="1"/>
    </row>
    <row r="964">
      <c r="E964" s="1"/>
    </row>
    <row r="965">
      <c r="E965" s="1"/>
    </row>
    <row r="966">
      <c r="E966" s="1"/>
    </row>
    <row r="967">
      <c r="E967" s="1"/>
    </row>
    <row r="968">
      <c r="E968" s="1"/>
    </row>
    <row r="969">
      <c r="E969" s="1"/>
    </row>
    <row r="970">
      <c r="E970" s="1"/>
    </row>
    <row r="971">
      <c r="E971" s="1"/>
    </row>
    <row r="972">
      <c r="E972" s="1"/>
    </row>
    <row r="973">
      <c r="E973" s="1"/>
    </row>
    <row r="974">
      <c r="E974" s="1"/>
    </row>
    <row r="975">
      <c r="E975" s="1"/>
    </row>
    <row r="976">
      <c r="E976" s="1"/>
    </row>
    <row r="977">
      <c r="E977" s="1"/>
    </row>
    <row r="978">
      <c r="E978" s="1"/>
    </row>
    <row r="979">
      <c r="E979" s="1"/>
    </row>
    <row r="980">
      <c r="E980" s="1"/>
    </row>
    <row r="981">
      <c r="E981" s="1"/>
    </row>
    <row r="982">
      <c r="E982" s="1"/>
    </row>
    <row r="983">
      <c r="E983" s="1"/>
    </row>
    <row r="984">
      <c r="E984" s="1"/>
    </row>
    <row r="985">
      <c r="E985" s="1"/>
    </row>
    <row r="986">
      <c r="E986" s="1"/>
    </row>
    <row r="987">
      <c r="E987" s="1"/>
    </row>
    <row r="988">
      <c r="E988" s="1"/>
    </row>
    <row r="989">
      <c r="E989" s="1"/>
    </row>
    <row r="990">
      <c r="E990" s="1"/>
    </row>
    <row r="991">
      <c r="E991" s="1"/>
    </row>
    <row r="992">
      <c r="E992" s="1"/>
    </row>
    <row r="993">
      <c r="E993" s="1"/>
    </row>
    <row r="994">
      <c r="E994" s="1"/>
    </row>
    <row r="995">
      <c r="E995" s="1"/>
    </row>
    <row r="996">
      <c r="E996" s="1"/>
    </row>
    <row r="997">
      <c r="E997" s="1"/>
    </row>
    <row r="998">
      <c r="E998" s="1"/>
    </row>
    <row r="999">
      <c r="E999" s="1"/>
    </row>
    <row r="1000">
      <c r="E1000" s="1"/>
    </row>
  </sheetData>
  <mergeCells count="4">
    <mergeCell ref="A1:V1"/>
    <mergeCell ref="M10:Q11"/>
    <mergeCell ref="L13:Q14"/>
    <mergeCell ref="G16:R18"/>
  </mergeCells>
  <drawing r:id="rId1"/>
</worksheet>
</file>