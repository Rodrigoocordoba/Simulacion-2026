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cion LT" sheetId="1" r:id="rId4"/>
    <sheet state="visible" name="Pr. de Media proveedor" sheetId="2" r:id="rId5"/>
    <sheet state="visible" name="Pr. de Varianza Proveedor" sheetId="3" r:id="rId6"/>
    <sheet state="visible" name="Prueba Chi-Cuadrada" sheetId="4" r:id="rId7"/>
    <sheet state="visible" name="Pruebas Corridas AyA Proveedor" sheetId="5" r:id="rId8"/>
  </sheets>
  <definedNames/>
  <calcPr/>
  <extLst>
    <ext uri="GoogleSheetsCustomDataVersion2">
      <go:sheetsCustomData xmlns:go="http://customooxmlschemas.google.com/" r:id="rId9" roundtripDataChecksum="Y0AGAAS4mGKvBAfhuHDDRJC3N/xCPUa52QeU1YVE22g="/>
    </ext>
  </extLst>
</workbook>
</file>

<file path=xl/sharedStrings.xml><?xml version="1.0" encoding="utf-8"?>
<sst xmlns="http://schemas.openxmlformats.org/spreadsheetml/2006/main" count="189" uniqueCount="180">
  <si>
    <t>Generación de Números Pseudoaletaorios para Llegada del proveedor</t>
  </si>
  <si>
    <t>se generaron 100 numero pseudoaleatorios
semilla: 1754
multiplicador: 4813</t>
  </si>
  <si>
    <t>a=</t>
  </si>
  <si>
    <t>X0 =</t>
  </si>
  <si>
    <t>Numeros pseudoaleatorios</t>
  </si>
  <si>
    <t>Valores simulados</t>
  </si>
  <si>
    <t>Y0 = (X0)*a =</t>
  </si>
  <si>
    <t>X1 =</t>
  </si>
  <si>
    <t xml:space="preserve">R1 = </t>
  </si>
  <si>
    <t>Primeros 20 numeros pseudoaleatorios VD</t>
  </si>
  <si>
    <t>Y1 = (X1)*a =</t>
  </si>
  <si>
    <t>X2 =</t>
  </si>
  <si>
    <t>R2 =</t>
  </si>
  <si>
    <t>Y2 = (X2)*a =</t>
  </si>
  <si>
    <t>X3 =</t>
  </si>
  <si>
    <t>R3 =</t>
  </si>
  <si>
    <t>R4 =</t>
  </si>
  <si>
    <t>R5 =</t>
  </si>
  <si>
    <t>R6 =</t>
  </si>
  <si>
    <t>R7 =</t>
  </si>
  <si>
    <t>R8 =</t>
  </si>
  <si>
    <t>R9 =</t>
  </si>
  <si>
    <t>R10 =</t>
  </si>
  <si>
    <t>R11 =</t>
  </si>
  <si>
    <t>R12 =</t>
  </si>
  <si>
    <t>A partir de aca verificamos los numeros, que sean realmente pseudo aleatorio</t>
  </si>
  <si>
    <t>R13 =</t>
  </si>
  <si>
    <t>1ero: Prueba de medias</t>
  </si>
  <si>
    <t>R14 =</t>
  </si>
  <si>
    <t>2do Prueba de varianza</t>
  </si>
  <si>
    <t>R15 =</t>
  </si>
  <si>
    <t>3ero Prueba de Chi-Cuadrada</t>
  </si>
  <si>
    <t>R16 =</t>
  </si>
  <si>
    <t>4to Prueba Corridas Arriba y Abajo</t>
  </si>
  <si>
    <t>R17 =</t>
  </si>
  <si>
    <t>R18 =</t>
  </si>
  <si>
    <t>R19 =</t>
  </si>
  <si>
    <t>R20 =</t>
  </si>
  <si>
    <t>R21 =</t>
  </si>
  <si>
    <t>R22 =</t>
  </si>
  <si>
    <t xml:space="preserve">R23 = </t>
  </si>
  <si>
    <t>R24 =</t>
  </si>
  <si>
    <t>R25 =</t>
  </si>
  <si>
    <t>R26 =</t>
  </si>
  <si>
    <t>R27 =</t>
  </si>
  <si>
    <t>R28 =</t>
  </si>
  <si>
    <t>R29 =</t>
  </si>
  <si>
    <t>R30 =</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</si>
  <si>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</si>
  <si>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</si>
  <si>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</si>
  <si>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</si>
  <si>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</si>
  <si>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</si>
  <si>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</si>
  <si>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</si>
  <si>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</si>
  <si>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</si>
  <si>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</si>
  <si>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</si>
  <si>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</si>
  <si>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</si>
  <si>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</si>
  <si>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</si>
  <si>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</si>
  <si>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</si>
  <si>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</si>
  <si>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</si>
  <si>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</si>
  <si>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</si>
  <si>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</si>
  <si>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</si>
  <si>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</si>
  <si>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</si>
  <si>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</si>
  <si>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</si>
  <si>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</si>
  <si>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</si>
  <si>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</si>
  <si>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</si>
  <si>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 =</t>
  </si>
  <si>
    <t>R64 =</t>
  </si>
  <si>
    <t>R65 =</t>
  </si>
  <si>
    <t>R66 =</t>
  </si>
  <si>
    <t>R67 =</t>
  </si>
  <si>
    <t>R68 =</t>
  </si>
  <si>
    <t>R69 =</t>
  </si>
  <si>
    <t>R70 =</t>
  </si>
  <si>
    <t>R71 =</t>
  </si>
  <si>
    <t>R72 =</t>
  </si>
  <si>
    <t>R73 =</t>
  </si>
  <si>
    <t>R74 =</t>
  </si>
  <si>
    <t>R75 =</t>
  </si>
  <si>
    <t>R76 =</t>
  </si>
  <si>
    <t>R77 =</t>
  </si>
  <si>
    <t>R78 =</t>
  </si>
  <si>
    <t>R79 =</t>
  </si>
  <si>
    <t>R80 =</t>
  </si>
  <si>
    <t>R81 =</t>
  </si>
  <si>
    <t>R82 =</t>
  </si>
  <si>
    <t>R83 =</t>
  </si>
  <si>
    <t>R84 =</t>
  </si>
  <si>
    <t>R85 =</t>
  </si>
  <si>
    <t>R86 =</t>
  </si>
  <si>
    <t>R87 =</t>
  </si>
  <si>
    <t>R88 =</t>
  </si>
  <si>
    <t>R89 =</t>
  </si>
  <si>
    <t>R90 =</t>
  </si>
  <si>
    <t>R91 =</t>
  </si>
  <si>
    <t>R92 =</t>
  </si>
  <si>
    <t>R93 =</t>
  </si>
  <si>
    <t>R94 =</t>
  </si>
  <si>
    <t>R95 =</t>
  </si>
  <si>
    <t>R96 =</t>
  </si>
  <si>
    <t>R97 =</t>
  </si>
  <si>
    <t>R98 =</t>
  </si>
  <si>
    <t>R99 =</t>
  </si>
  <si>
    <t>R100 =</t>
  </si>
  <si>
    <t xml:space="preserve"> </t>
  </si>
  <si>
    <t>Nivel de Significación</t>
  </si>
  <si>
    <t>Tamaño de Muestra</t>
  </si>
  <si>
    <t>n  =</t>
  </si>
  <si>
    <r>
      <rPr>
        <rFont val="Symbol"/>
        <b/>
        <color theme="1"/>
        <sz val="11.0"/>
      </rPr>
      <t>a</t>
    </r>
    <r>
      <rPr>
        <rFont val="Calibri"/>
        <b/>
        <color theme="1"/>
        <sz val="11.0"/>
      </rPr>
      <t xml:space="preserve"> =</t>
    </r>
  </si>
  <si>
    <t>nivel de aceptación = 95%</t>
  </si>
  <si>
    <t>Media</t>
  </si>
  <si>
    <t>r  =</t>
  </si>
  <si>
    <r>
      <rPr>
        <rFont val="Symbol"/>
        <b/>
        <color theme="1"/>
        <sz val="11.0"/>
      </rPr>
      <t>a</t>
    </r>
    <r>
      <rPr>
        <rFont val="Calibri"/>
        <b/>
        <color theme="1"/>
        <sz val="11.0"/>
      </rPr>
      <t>/2 =</t>
    </r>
  </si>
  <si>
    <t>Z Critico</t>
  </si>
  <si>
    <r>
      <rPr>
        <rFont val="Calibri"/>
        <b/>
        <color theme="1"/>
        <sz val="11.0"/>
      </rPr>
      <t xml:space="preserve">Z </t>
    </r>
    <r>
      <rPr>
        <rFont val="Arial"/>
        <b/>
        <color theme="1"/>
        <sz val="5.0"/>
      </rPr>
      <t>a</t>
    </r>
    <r>
      <rPr>
        <rFont val="Calibri"/>
        <b/>
        <color theme="1"/>
        <sz val="5.0"/>
      </rPr>
      <t xml:space="preserve">/2 </t>
    </r>
    <r>
      <rPr>
        <rFont val="Calibri"/>
        <b/>
        <color theme="1"/>
        <sz val="11.0"/>
      </rPr>
      <t>=</t>
    </r>
  </si>
  <si>
    <r>
      <rPr>
        <rFont val="Calibri"/>
        <b/>
        <color theme="1"/>
        <sz val="11.0"/>
      </rPr>
      <t>1-(</t>
    </r>
    <r>
      <rPr>
        <rFont val="Symbol"/>
        <b/>
        <color theme="1"/>
        <sz val="11.0"/>
      </rPr>
      <t>a</t>
    </r>
    <r>
      <rPr>
        <rFont val="Calibri"/>
        <b/>
        <color theme="1"/>
        <sz val="11.0"/>
      </rPr>
      <t>/2) =</t>
    </r>
  </si>
  <si>
    <t>Busco 0,975 en el cuerpo de la tabla de distribución Normal estándar.</t>
  </si>
  <si>
    <t>LI r prom=</t>
  </si>
  <si>
    <t>LS r prom=</t>
  </si>
  <si>
    <t>Limites de Aceptación</t>
  </si>
  <si>
    <t>≤</t>
  </si>
  <si>
    <t>Como el valor del promedio 0,492 se encuentra entre los límites de aceptación, se concluye que no se puede rechazar que el conjunto de 100 números ri tiene un valor esperado de 0,5 con un nivel de aceptación de 95 %.</t>
  </si>
  <si>
    <t>Prueba de Varianza</t>
  </si>
  <si>
    <t>ri</t>
  </si>
  <si>
    <t>ri-r prom</t>
  </si>
  <si>
    <t>(ri-r prom)2</t>
  </si>
  <si>
    <t>V(r) =</t>
  </si>
  <si>
    <t>n - 1 =</t>
  </si>
  <si>
    <r>
      <rPr>
        <rFont val="Symbol"/>
        <b/>
        <color theme="1"/>
        <sz val="11.0"/>
      </rPr>
      <t>a</t>
    </r>
    <r>
      <rPr>
        <rFont val="Calibri"/>
        <b/>
        <color theme="1"/>
        <sz val="11.0"/>
      </rPr>
      <t>/2 =</t>
    </r>
  </si>
  <si>
    <r>
      <rPr>
        <rFont val="Calibri"/>
        <color theme="1"/>
        <sz val="10.0"/>
      </rPr>
      <t>1-(</t>
    </r>
    <r>
      <rPr>
        <rFont val="Symbol"/>
        <color theme="1"/>
        <sz val="11.0"/>
      </rPr>
      <t>a</t>
    </r>
    <r>
      <rPr>
        <rFont val="Calibri"/>
        <color theme="1"/>
        <sz val="11.0"/>
      </rPr>
      <t>/2) =</t>
    </r>
  </si>
  <si>
    <r>
      <rPr>
        <rFont val="Arial"/>
        <b/>
        <color theme="1"/>
        <sz val="11.0"/>
      </rPr>
      <t>a</t>
    </r>
    <r>
      <rPr>
        <rFont val="Calibri"/>
        <b/>
        <color theme="1"/>
        <sz val="11.0"/>
      </rPr>
      <t xml:space="preserve"> =</t>
    </r>
  </si>
  <si>
    <r>
      <rPr>
        <rFont val="Calibri"/>
        <b/>
        <color theme="1"/>
        <sz val="11.0"/>
      </rPr>
      <t>1-(</t>
    </r>
    <r>
      <rPr>
        <rFont val="Arial"/>
        <b/>
        <color theme="1"/>
        <sz val="11.0"/>
      </rPr>
      <t>a</t>
    </r>
    <r>
      <rPr>
        <rFont val="Calibri"/>
        <b/>
        <color theme="1"/>
        <sz val="11.0"/>
      </rPr>
      <t>/2) =</t>
    </r>
  </si>
  <si>
    <t>Limite Inferior</t>
  </si>
  <si>
    <r>
      <rPr>
        <rFont val="Calibri"/>
        <color theme="1"/>
        <sz val="10.0"/>
      </rPr>
      <t>X</t>
    </r>
    <r>
      <rPr>
        <rFont val="Calibri"/>
        <color theme="1"/>
        <sz val="11.0"/>
      </rPr>
      <t>2 (0,975;9) =</t>
    </r>
  </si>
  <si>
    <t>Busco en la Tabla X2 la Fila 9 y la Columna 0,975, y escribo el valor que se encuentra en la intersección de ambos valores.</t>
  </si>
  <si>
    <t>Limite Superior</t>
  </si>
  <si>
    <r>
      <rPr>
        <rFont val="Calibri"/>
        <color theme="1"/>
        <sz val="10.0"/>
      </rPr>
      <t>X</t>
    </r>
    <r>
      <rPr>
        <rFont val="Calibri"/>
        <color theme="1"/>
        <sz val="11.0"/>
      </rPr>
      <t>2 (0,025;9) =</t>
    </r>
  </si>
  <si>
    <t>Busco en la Tabla X2 la Fila 9 y la Columna 0,025, y escribo el valor que se encuentra en la intersección de ambos valores.</t>
  </si>
  <si>
    <t>LI V(r)  =</t>
  </si>
  <si>
    <t>LS V(r)  =</t>
  </si>
  <si>
    <r>
      <rPr>
        <rFont val="Calibri"/>
        <color theme="1"/>
        <sz val="11.0"/>
      </rPr>
      <t xml:space="preserve">Dado que el valor de la varianza: V(r) = 0,0761 está entre los límites de aceptación, podemos decir que </t>
    </r>
    <r>
      <rPr>
        <rFont val="Calibri"/>
        <b/>
        <color theme="1"/>
        <sz val="11.0"/>
      </rPr>
      <t>no se puede rechazar</t>
    </r>
    <r>
      <rPr>
        <rFont val="Calibri"/>
        <color theme="1"/>
        <sz val="11.0"/>
      </rPr>
      <t xml:space="preserve"> que el conjunto de 100 números ri tiene una varianza de 1/12=0,08333.</t>
    </r>
  </si>
  <si>
    <t>Prueba Chi-Cuadrada</t>
  </si>
  <si>
    <t>n =</t>
  </si>
  <si>
    <t>intervalor</t>
  </si>
  <si>
    <t>m =</t>
  </si>
  <si>
    <t>frecuencia esperada</t>
  </si>
  <si>
    <t>Ei =</t>
  </si>
  <si>
    <t>frecuencia observada</t>
  </si>
  <si>
    <t>Intervalo</t>
  </si>
  <si>
    <t>Oi</t>
  </si>
  <si>
    <t>Ei</t>
  </si>
  <si>
    <r>
      <rPr>
        <rFont val="Calibri"/>
        <color theme="1"/>
        <sz val="11.0"/>
      </rPr>
      <t>(Ei - Oi)</t>
    </r>
    <r>
      <rPr>
        <rFont val="Calibri"/>
        <color theme="1"/>
        <sz val="11.0"/>
        <vertAlign val="superscript"/>
      </rPr>
      <t>2</t>
    </r>
    <r>
      <rPr>
        <rFont val="Calibri"/>
        <color theme="1"/>
        <sz val="11.0"/>
      </rPr>
      <t>/Ei</t>
    </r>
  </si>
  <si>
    <t>Prueba de Corridas arriba y abajo</t>
  </si>
  <si>
    <t>S = {</t>
  </si>
  <si>
    <t>Se pone 1 cuando cambia de 0 a 1 o al revez</t>
  </si>
  <si>
    <r>
      <rPr>
        <rFont val="Symbol"/>
        <b/>
        <color theme="1"/>
        <sz val="11.0"/>
      </rPr>
      <t>a</t>
    </r>
    <r>
      <rPr>
        <rFont val="Calibri"/>
        <b/>
        <color theme="1"/>
        <sz val="11.0"/>
      </rPr>
      <t xml:space="preserve"> =</t>
    </r>
  </si>
  <si>
    <r>
      <rPr>
        <rFont val="Symbol"/>
        <b/>
        <color theme="1"/>
        <sz val="11.0"/>
      </rPr>
      <t>a</t>
    </r>
    <r>
      <rPr>
        <rFont val="Calibri"/>
        <b/>
        <color theme="1"/>
        <sz val="11.0"/>
      </rPr>
      <t>/2 =</t>
    </r>
  </si>
  <si>
    <r>
      <rPr>
        <rFont val="Calibri"/>
        <b/>
        <color theme="1"/>
        <sz val="11.0"/>
      </rPr>
      <t>1-(</t>
    </r>
    <r>
      <rPr>
        <rFont val="Symbol"/>
        <b/>
        <color theme="1"/>
        <sz val="11.0"/>
      </rPr>
      <t>a</t>
    </r>
    <r>
      <rPr>
        <rFont val="Calibri"/>
        <b/>
        <color theme="1"/>
        <sz val="11.0"/>
      </rPr>
      <t>/2) =</t>
    </r>
  </si>
  <si>
    <t>Ésto busco en el cuerpo de la tabla de distribución Normal estándar.</t>
  </si>
  <si>
    <r>
      <rPr>
        <rFont val="Symbol"/>
        <b/>
        <color theme="1"/>
        <sz val="11.0"/>
      </rPr>
      <t>m</t>
    </r>
    <r>
      <rPr>
        <rFont val="Calibri"/>
        <b/>
        <color theme="1"/>
        <sz val="11.0"/>
      </rPr>
      <t xml:space="preserve"> C0 =</t>
    </r>
  </si>
  <si>
    <r>
      <rPr>
        <rFont val="Arial"/>
        <b/>
        <color theme="1"/>
        <sz val="11.0"/>
      </rPr>
      <t>σ²co</t>
    </r>
    <r>
      <rPr>
        <rFont val="Calibri"/>
        <b/>
        <color theme="1"/>
        <sz val="11.0"/>
      </rPr>
      <t xml:space="preserve"> =</t>
    </r>
  </si>
  <si>
    <t>Z0 =</t>
  </si>
  <si>
    <r>
      <rPr>
        <rFont val="Calibri"/>
        <b/>
        <color theme="1"/>
        <sz val="11.0"/>
      </rPr>
      <t xml:space="preserve">Z </t>
    </r>
    <r>
      <rPr>
        <rFont val="Symbol"/>
        <b/>
        <color theme="1"/>
        <sz val="11.0"/>
        <vertAlign val="subscript"/>
      </rPr>
      <t>a</t>
    </r>
    <r>
      <rPr>
        <rFont val="Calibri"/>
        <b/>
        <color theme="1"/>
        <sz val="11.0"/>
        <vertAlign val="subscript"/>
      </rPr>
      <t>/2</t>
    </r>
    <r>
      <rPr>
        <rFont val="Calibri"/>
        <b/>
        <color theme="1"/>
        <sz val="11.0"/>
      </rPr>
      <t xml:space="preserve"> =</t>
    </r>
  </si>
  <si>
    <t>El valor que escribo se forma sumando el valor de la fila más el valor de la Columna</t>
  </si>
  <si>
    <r>
      <rPr>
        <rFont val="Calibri"/>
        <b/>
        <color theme="1"/>
        <sz val="11.0"/>
      </rPr>
      <t xml:space="preserve">Z </t>
    </r>
    <r>
      <rPr>
        <rFont val="Symbol"/>
        <b/>
        <color theme="1"/>
        <sz val="11.0"/>
        <vertAlign val="subscript"/>
      </rPr>
      <t>a</t>
    </r>
    <r>
      <rPr>
        <rFont val="Calibri"/>
        <b/>
        <color theme="1"/>
        <sz val="11.0"/>
        <vertAlign val="subscript"/>
      </rPr>
      <t>/2</t>
    </r>
    <r>
      <rPr>
        <rFont val="Calibri"/>
        <b/>
        <color theme="1"/>
        <sz val="11.0"/>
      </rPr>
      <t xml:space="preserve"> =</t>
    </r>
  </si>
  <si>
    <r>
      <rPr>
        <rFont val="Calibri"/>
        <color theme="1"/>
        <sz val="11.0"/>
      </rPr>
      <t>Como el valor Z</t>
    </r>
    <r>
      <rPr>
        <rFont val="Calibri"/>
        <color theme="1"/>
        <sz val="10.0"/>
      </rPr>
      <t xml:space="preserve">0 = 1,04 </t>
    </r>
    <r>
      <rPr>
        <rFont val="Calibri"/>
        <color theme="1"/>
        <sz val="11.0"/>
      </rPr>
      <t xml:space="preserve">es menor que el valor crítico Z </t>
    </r>
    <r>
      <rPr>
        <rFont val="Arial"/>
        <color theme="1"/>
        <sz val="11.0"/>
      </rPr>
      <t>a</t>
    </r>
    <r>
      <rPr>
        <rFont val="Calibri"/>
        <color theme="1"/>
        <sz val="11.0"/>
      </rPr>
      <t xml:space="preserve">/2 =1,96 de la tabla de Distribución Normal Estándar, se concluye que </t>
    </r>
    <r>
      <rPr>
        <rFont val="Calibri"/>
        <b/>
        <color theme="1"/>
        <sz val="11.0"/>
      </rPr>
      <t>no se puede rechazar</t>
    </r>
    <r>
      <rPr>
        <rFont val="Calibri"/>
        <color theme="1"/>
        <sz val="11.0"/>
      </rPr>
      <t xml:space="preserve"> que los números del conjunto ri son independientes. Concluyendo con esta prueba que </t>
    </r>
    <r>
      <rPr>
        <rFont val="Calibri"/>
        <b/>
        <color theme="1"/>
        <sz val="11.0"/>
      </rPr>
      <t>el conjunto de números ri se puede usar en un estudio de simulación.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</si>
</sst>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
  </numFmts>
  <fonts count="18">
    <font>
      <sz val="10.0"/>
      <color rgb="FF000000"/>
      <name val="Arial"/>
      <scheme val="minor"/>
    </font>
    <font>
      <b/>
      <sz val="14.0"/>
      <color theme="1"/>
      <name val="Calibri"/>
    </font>
    <font/>
    <font>
      <sz val="7.0"/>
      <color theme="1"/>
      <name val="Arial"/>
    </font>
    <font>
      <sz val="10.0"/>
      <color theme="1"/>
      <name val="Arial"/>
    </font>
    <font>
      <b/>
      <sz val="10.0"/>
      <color theme="1"/>
      <name val="Arial"/>
    </font>
    <font>
      <b/>
      <sz val="11.0"/>
      <color theme="1"/>
      <name val="Calibri"/>
    </font>
    <font>
      <sz val="11.0"/>
      <color theme="1"/>
      <name val="Calibri"/>
    </font>
    <font>
      <b/>
      <sz val="11.0"/>
      <color theme="4"/>
      <name val="Calibri"/>
    </font>
    <font>
      <sz val="10.0"/>
      <color theme="1"/>
      <name val="Calibri"/>
    </font>
    <font>
      <b/>
      <sz val="11.0"/>
      <color rgb="FFFF0000"/>
      <name val="Calibri"/>
    </font>
    <font>
      <b/>
      <sz val="14.0"/>
      <color rgb="FF000000"/>
      <name val="Calibri"/>
    </font>
    <font>
      <color rgb="FF000000"/>
      <name val="Arial"/>
    </font>
    <font>
      <sz val="11.0"/>
      <color rgb="FF000000"/>
      <name val="Calibri"/>
    </font>
    <font>
      <sz val="14.0"/>
      <color theme="1"/>
      <name val="Calibri"/>
    </font>
    <font>
      <color rgb="FF000000"/>
      <name val="Calibri"/>
    </font>
    <font>
      <color theme="1"/>
      <name val="Arial"/>
    </font>
    <font>
      <sz val="8.0"/>
      <color theme="1"/>
      <name val="Arial"/>
    </font>
  </fonts>
  <fills count="11">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DE9D9"/>
        <bgColor rgb="FFFDE9D9"/>
      </patternFill>
    </fill>
    <fill>
      <patternFill patternType="solid">
        <fgColor rgb="FFF9CB9C"/>
        <bgColor rgb="FFF9CB9C"/>
      </patternFill>
    </fill>
    <fill>
      <patternFill patternType="solid">
        <fgColor rgb="FFFFFF00"/>
        <bgColor rgb="FFFFFF00"/>
      </patternFill>
    </fill>
    <fill>
      <patternFill patternType="solid">
        <fgColor rgb="FFE06666"/>
        <bgColor rgb="FFE06666"/>
      </patternFill>
    </fill>
    <fill>
      <patternFill patternType="solid">
        <fgColor rgb="FFFCE5CD"/>
        <bgColor rgb="FFFCE5CD"/>
      </patternFill>
    </fill>
    <fill>
      <patternFill patternType="solid">
        <fgColor rgb="FFFFF2CC"/>
        <bgColor rgb="FFFFF2CC"/>
      </patternFill>
    </fill>
    <fill>
      <patternFill patternType="solid">
        <fgColor rgb="FFFFC000"/>
        <bgColor rgb="FFFFC000"/>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shrinkToFit="0" wrapText="1"/>
    </xf>
    <xf borderId="0" fillId="0" fontId="4" numFmtId="0" xfId="0" applyAlignment="1" applyFont="1">
      <alignment shrinkToFit="0" wrapText="1"/>
    </xf>
    <xf borderId="7" fillId="2" fontId="4" numFmtId="0" xfId="0" applyBorder="1" applyFont="1"/>
    <xf borderId="0" fillId="0" fontId="4" numFmtId="0" xfId="0" applyAlignment="1" applyFont="1">
      <alignment horizontal="right"/>
    </xf>
    <xf borderId="0" fillId="0" fontId="4" numFmtId="0" xfId="0" applyFont="1"/>
    <xf borderId="0" fillId="0" fontId="5" numFmtId="0" xfId="0" applyAlignment="1" applyFont="1">
      <alignment horizontal="center"/>
    </xf>
    <xf borderId="0" fillId="0" fontId="4" numFmtId="0" xfId="0" applyAlignment="1" applyFont="1">
      <alignment horizontal="center"/>
    </xf>
    <xf borderId="7" fillId="2" fontId="4" numFmtId="0" xfId="0" applyAlignment="1" applyBorder="1" applyFont="1">
      <alignment horizontal="right"/>
    </xf>
    <xf borderId="0" fillId="0" fontId="4" numFmtId="164" xfId="0" applyFont="1" applyNumberFormat="1"/>
    <xf borderId="8" fillId="2" fontId="4" numFmtId="0" xfId="0" applyBorder="1" applyFont="1"/>
    <xf borderId="9" fillId="0" fontId="2" numFmtId="0" xfId="0" applyBorder="1" applyFont="1"/>
    <xf borderId="10" fillId="3" fontId="4" numFmtId="164" xfId="0" applyAlignment="1" applyBorder="1" applyFill="1" applyFont="1" applyNumberFormat="1">
      <alignment horizontal="right"/>
    </xf>
    <xf borderId="8" fillId="2" fontId="1" numFmtId="0" xfId="0" applyAlignment="1" applyBorder="1" applyFont="1">
      <alignment horizontal="center"/>
    </xf>
    <xf borderId="11" fillId="0" fontId="2" numFmtId="0" xfId="0" applyBorder="1" applyFont="1"/>
    <xf borderId="12" fillId="0" fontId="2" numFmtId="0" xfId="0" applyBorder="1" applyFont="1"/>
    <xf borderId="0" fillId="0" fontId="4" numFmtId="164" xfId="0" applyAlignment="1" applyFont="1" applyNumberFormat="1">
      <alignment horizontal="right"/>
    </xf>
    <xf borderId="7" fillId="2" fontId="4" numFmtId="164" xfId="0" applyAlignment="1" applyBorder="1" applyFont="1" applyNumberFormat="1">
      <alignment horizontal="right"/>
    </xf>
    <xf borderId="0" fillId="0" fontId="6" numFmtId="0" xfId="0" applyAlignment="1" applyFont="1">
      <alignment horizontal="right"/>
    </xf>
    <xf borderId="0" fillId="0" fontId="6" numFmtId="0" xfId="0" applyFont="1"/>
    <xf borderId="0" fillId="0" fontId="7" numFmtId="9" xfId="0" applyAlignment="1" applyFont="1" applyNumberFormat="1">
      <alignment horizontal="right"/>
    </xf>
    <xf borderId="0" fillId="0" fontId="7" numFmtId="0" xfId="0" applyAlignment="1" applyFont="1">
      <alignment horizontal="center"/>
    </xf>
    <xf borderId="0" fillId="0" fontId="7" numFmtId="0" xfId="0" applyFont="1"/>
    <xf borderId="0" fillId="0" fontId="7" numFmtId="0" xfId="0" applyAlignment="1" applyFont="1">
      <alignment horizontal="right"/>
    </xf>
    <xf borderId="0" fillId="0" fontId="7" numFmtId="164" xfId="0" applyFont="1" applyNumberFormat="1"/>
    <xf borderId="0" fillId="0" fontId="7" numFmtId="164" xfId="0" applyAlignment="1" applyFont="1" applyNumberFormat="1">
      <alignment horizontal="right"/>
    </xf>
    <xf borderId="0" fillId="0" fontId="6" numFmtId="164" xfId="0" applyFont="1" applyNumberFormat="1"/>
    <xf borderId="0" fillId="0" fontId="4" numFmtId="9" xfId="0" applyFont="1" applyNumberFormat="1"/>
    <xf borderId="10" fillId="2" fontId="7" numFmtId="165" xfId="0" applyAlignment="1" applyBorder="1" applyFont="1" applyNumberFormat="1">
      <alignment horizontal="right"/>
    </xf>
    <xf borderId="0" fillId="0" fontId="7" numFmtId="165" xfId="0" applyAlignment="1" applyFont="1" applyNumberFormat="1">
      <alignment horizontal="right"/>
    </xf>
    <xf borderId="7" fillId="4" fontId="8" numFmtId="164" xfId="0" applyAlignment="1" applyBorder="1" applyFill="1" applyFont="1" applyNumberFormat="1">
      <alignment horizontal="right"/>
    </xf>
    <xf borderId="10" fillId="2" fontId="7" numFmtId="164" xfId="0" applyAlignment="1" applyBorder="1" applyFont="1" applyNumberFormat="1">
      <alignment horizontal="right"/>
    </xf>
    <xf borderId="10" fillId="2" fontId="6" numFmtId="0" xfId="0" applyAlignment="1" applyBorder="1" applyFont="1">
      <alignment horizontal="center"/>
    </xf>
    <xf borderId="0" fillId="0" fontId="7" numFmtId="1" xfId="0" applyAlignment="1" applyFont="1" applyNumberFormat="1">
      <alignment horizontal="right"/>
    </xf>
    <xf borderId="0" fillId="0" fontId="9" numFmtId="0" xfId="0" applyFont="1"/>
    <xf borderId="0" fillId="0" fontId="9" numFmtId="0" xfId="0" applyAlignment="1" applyFont="1">
      <alignment horizontal="right"/>
    </xf>
    <xf borderId="7" fillId="2" fontId="7" numFmtId="1" xfId="0" applyAlignment="1" applyBorder="1" applyFont="1" applyNumberFormat="1">
      <alignment horizontal="right"/>
    </xf>
    <xf borderId="7" fillId="2" fontId="7" numFmtId="165" xfId="0" applyAlignment="1" applyBorder="1" applyFont="1" applyNumberFormat="1">
      <alignment horizontal="right"/>
    </xf>
    <xf borderId="0" fillId="0" fontId="6" numFmtId="165" xfId="0" applyAlignment="1" applyFont="1" applyNumberFormat="1">
      <alignment horizontal="right"/>
    </xf>
    <xf borderId="7" fillId="2" fontId="7" numFmtId="9" xfId="0" applyAlignment="1" applyBorder="1" applyFont="1" applyNumberFormat="1">
      <alignment horizontal="right"/>
    </xf>
    <xf borderId="7" fillId="2" fontId="9" numFmtId="4" xfId="0" applyAlignment="1" applyBorder="1" applyFont="1" applyNumberFormat="1">
      <alignment horizontal="right"/>
    </xf>
    <xf borderId="7" fillId="2" fontId="6" numFmtId="165" xfId="0" applyAlignment="1" applyBorder="1" applyFont="1" applyNumberFormat="1">
      <alignment horizontal="right"/>
    </xf>
    <xf borderId="0" fillId="0" fontId="10" numFmtId="0" xfId="0" applyFont="1"/>
    <xf borderId="0" fillId="0" fontId="7" numFmtId="0" xfId="0" applyAlignment="1" applyFont="1">
      <alignment shrinkToFit="0" wrapText="1"/>
    </xf>
    <xf borderId="8" fillId="5" fontId="11" numFmtId="0" xfId="0" applyAlignment="1" applyBorder="1" applyFill="1" applyFont="1">
      <alignment horizontal="center" readingOrder="0" shrinkToFit="0" vertical="bottom" wrapText="0"/>
    </xf>
    <xf borderId="2" fillId="0" fontId="1" numFmtId="0" xfId="0" applyAlignment="1" applyBorder="1" applyFont="1">
      <alignment horizontal="center"/>
    </xf>
    <xf borderId="3" fillId="0" fontId="1" numFmtId="0" xfId="0" applyAlignment="1" applyBorder="1" applyFont="1">
      <alignment horizontal="center"/>
    </xf>
    <xf borderId="13" fillId="0" fontId="1" numFmtId="0" xfId="0" applyAlignment="1" applyBorder="1" applyFont="1">
      <alignment horizontal="center"/>
    </xf>
    <xf borderId="0" fillId="0" fontId="1" numFmtId="0" xfId="0" applyAlignment="1" applyFont="1">
      <alignment horizontal="center"/>
    </xf>
    <xf borderId="14" fillId="0" fontId="1" numFmtId="0" xfId="0" applyAlignment="1" applyBorder="1" applyFont="1">
      <alignment horizontal="center"/>
    </xf>
    <xf borderId="0" fillId="2" fontId="4" numFmtId="164" xfId="0" applyAlignment="1" applyFont="1" applyNumberFormat="1">
      <alignment horizontal="right"/>
    </xf>
    <xf borderId="0" fillId="0" fontId="12" numFmtId="0" xfId="0" applyAlignment="1" applyFont="1">
      <alignment shrinkToFit="0" vertical="bottom" wrapText="0"/>
    </xf>
    <xf borderId="0" fillId="0" fontId="13" numFmtId="0" xfId="0" applyAlignment="1" applyFont="1">
      <alignment readingOrder="0" shrinkToFit="0" vertical="bottom" wrapText="0"/>
    </xf>
    <xf borderId="0" fillId="0" fontId="14" numFmtId="0" xfId="0" applyAlignment="1" applyFont="1">
      <alignment horizontal="center" readingOrder="0"/>
    </xf>
    <xf borderId="0" fillId="0" fontId="12" numFmtId="0" xfId="0" applyAlignment="1" applyFont="1">
      <alignment readingOrder="0" shrinkToFit="0" vertical="bottom" wrapText="0"/>
    </xf>
    <xf borderId="0" fillId="0" fontId="15" numFmtId="0" xfId="0" applyAlignment="1" applyFont="1">
      <alignment readingOrder="0" shrinkToFit="0" vertical="bottom" wrapText="0"/>
    </xf>
    <xf borderId="0" fillId="0" fontId="14" numFmtId="0" xfId="0" applyAlignment="1" applyFont="1">
      <alignment horizontal="center"/>
    </xf>
    <xf borderId="0" fillId="6" fontId="14" numFmtId="0" xfId="0" applyAlignment="1" applyFill="1" applyFont="1">
      <alignment horizontal="center"/>
    </xf>
    <xf borderId="0" fillId="0" fontId="16" numFmtId="0" xfId="0" applyAlignment="1" applyFont="1">
      <alignment vertical="bottom"/>
    </xf>
    <xf borderId="8" fillId="0" fontId="7" numFmtId="0" xfId="0" applyAlignment="1" applyBorder="1" applyFont="1">
      <alignment horizontal="center" vertical="bottom"/>
    </xf>
    <xf borderId="10" fillId="0" fontId="7" numFmtId="0" xfId="0" applyAlignment="1" applyBorder="1" applyFont="1">
      <alignment horizontal="center" vertical="bottom"/>
    </xf>
    <xf borderId="10" fillId="0" fontId="7" numFmtId="164" xfId="0" applyAlignment="1" applyBorder="1" applyFont="1" applyNumberFormat="1">
      <alignment horizontal="center" vertical="bottom"/>
    </xf>
    <xf borderId="0" fillId="0" fontId="14" numFmtId="164" xfId="0" applyAlignment="1" applyFont="1" applyNumberFormat="1">
      <alignment horizontal="center"/>
    </xf>
    <xf borderId="4" fillId="0" fontId="1" numFmtId="0" xfId="0" applyAlignment="1" applyBorder="1" applyFont="1">
      <alignment horizontal="center"/>
    </xf>
    <xf borderId="5" fillId="0" fontId="1" numFmtId="0" xfId="0" applyAlignment="1" applyBorder="1" applyFont="1">
      <alignment horizontal="center"/>
    </xf>
    <xf borderId="6" fillId="0" fontId="1" numFmtId="0" xfId="0" applyAlignment="1" applyBorder="1" applyFont="1">
      <alignment horizontal="center"/>
    </xf>
    <xf borderId="8" fillId="7" fontId="1" numFmtId="0" xfId="0" applyAlignment="1" applyBorder="1" applyFill="1" applyFont="1">
      <alignment horizontal="center"/>
    </xf>
    <xf borderId="0" fillId="0" fontId="17" numFmtId="0" xfId="0" applyAlignment="1" applyFont="1">
      <alignment horizontal="center"/>
    </xf>
    <xf borderId="7" fillId="8" fontId="7" numFmtId="0" xfId="0" applyAlignment="1" applyBorder="1" applyFill="1" applyFont="1">
      <alignment horizontal="right"/>
    </xf>
    <xf borderId="7" fillId="9" fontId="7" numFmtId="0" xfId="0" applyAlignment="1" applyBorder="1" applyFill="1" applyFont="1">
      <alignment horizontal="right"/>
    </xf>
    <xf borderId="0" fillId="0" fontId="7" numFmtId="4" xfId="0" applyAlignment="1" applyFont="1" applyNumberFormat="1">
      <alignment horizontal="right"/>
    </xf>
    <xf borderId="0" fillId="0" fontId="4" numFmtId="4" xfId="0" applyFont="1" applyNumberFormat="1"/>
    <xf borderId="0" fillId="0" fontId="6" numFmtId="164" xfId="0" applyAlignment="1" applyFont="1" applyNumberFormat="1">
      <alignment horizontal="right"/>
    </xf>
    <xf borderId="0" fillId="0" fontId="10" numFmtId="0" xfId="0" applyAlignment="1" applyFont="1">
      <alignment shrinkToFit="0" wrapText="1"/>
    </xf>
    <xf borderId="10" fillId="10" fontId="7" numFmtId="2" xfId="0" applyAlignment="1" applyBorder="1" applyFill="1" applyFont="1" applyNumberFormat="1">
      <alignment horizontal="right"/>
    </xf>
    <xf borderId="0" fillId="0" fontId="7" numFmtId="2"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6.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6</xdr:row>
      <xdr:rowOff>219075</xdr:rowOff>
    </xdr:from>
    <xdr:ext cx="1390650" cy="40957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57150</xdr:colOff>
      <xdr:row>6</xdr:row>
      <xdr:rowOff>190500</xdr:rowOff>
    </xdr:from>
    <xdr:ext cx="819150" cy="4667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809625</xdr:colOff>
      <xdr:row>6</xdr:row>
      <xdr:rowOff>219075</xdr:rowOff>
    </xdr:from>
    <xdr:ext cx="1457325" cy="4095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838200</xdr:colOff>
      <xdr:row>21</xdr:row>
      <xdr:rowOff>95250</xdr:rowOff>
    </xdr:from>
    <xdr:ext cx="1257300" cy="466725"/>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228600</xdr:colOff>
      <xdr:row>21</xdr:row>
      <xdr:rowOff>19050</xdr:rowOff>
    </xdr:from>
    <xdr:ext cx="1133475" cy="6096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9525</xdr:colOff>
      <xdr:row>21</xdr:row>
      <xdr:rowOff>95250</xdr:rowOff>
    </xdr:from>
    <xdr:ext cx="1323975" cy="4667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466725</xdr:colOff>
      <xdr:row>5</xdr:row>
      <xdr:rowOff>95250</xdr:rowOff>
    </xdr:from>
    <xdr:ext cx="1209675" cy="428625"/>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466725</xdr:colOff>
      <xdr:row>8</xdr:row>
      <xdr:rowOff>114300</xdr:rowOff>
    </xdr:from>
    <xdr:ext cx="971550" cy="428625"/>
    <xdr:pic>
      <xdr:nvPicPr>
        <xdr:cNvPr id="0" name="image9.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466725</xdr:colOff>
      <xdr:row>11</xdr:row>
      <xdr:rowOff>19050</xdr:rowOff>
    </xdr:from>
    <xdr:ext cx="1314450" cy="428625"/>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485775</xdr:colOff>
      <xdr:row>13</xdr:row>
      <xdr:rowOff>142875</xdr:rowOff>
    </xdr:from>
    <xdr:ext cx="1162050" cy="428625"/>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9" max="9" width="13.75"/>
    <col customWidth="1" min="10" max="10" width="16.5"/>
    <col customWidth="1" min="11" max="11" width="28.63"/>
    <col customWidth="1" min="12" max="12" width="21.38"/>
    <col customWidth="1" min="13" max="13" width="24.38"/>
  </cols>
  <sheetData>
    <row r="1" ht="15.75" customHeight="1"/>
    <row r="2" ht="15.75" customHeight="1">
      <c r="B2" s="1" t="s">
        <v>0</v>
      </c>
      <c r="C2" s="2"/>
      <c r="D2" s="2"/>
      <c r="E2" s="2"/>
      <c r="F2" s="2"/>
      <c r="G2" s="2"/>
      <c r="H2" s="2"/>
      <c r="I2" s="2"/>
      <c r="J2" s="3"/>
    </row>
    <row r="3" ht="15.75" customHeight="1">
      <c r="B3" s="4"/>
      <c r="C3" s="5"/>
      <c r="D3" s="5"/>
      <c r="E3" s="5"/>
      <c r="F3" s="5"/>
      <c r="G3" s="5"/>
      <c r="H3" s="5"/>
      <c r="I3" s="5"/>
      <c r="J3" s="6"/>
    </row>
    <row r="4" ht="15.75" customHeight="1"/>
    <row r="5" ht="15.75" customHeight="1"/>
    <row r="6" ht="15.75" customHeight="1">
      <c r="A6" s="7"/>
      <c r="B6" s="8" t="s">
        <v>1</v>
      </c>
    </row>
    <row r="7" ht="15.75" customHeight="1">
      <c r="A7" s="7"/>
    </row>
    <row r="8" ht="15.75" customHeight="1">
      <c r="A8" s="7"/>
    </row>
    <row r="9" ht="15.75" customHeight="1">
      <c r="F9" s="9" t="s">
        <v>2</v>
      </c>
      <c r="G9" s="10">
        <v>4813.0</v>
      </c>
    </row>
    <row r="10" ht="15.75" customHeight="1">
      <c r="C10" s="11"/>
      <c r="F10" s="9" t="s">
        <v>3</v>
      </c>
      <c r="G10" s="10">
        <v>1754.0</v>
      </c>
      <c r="I10" s="12" t="s">
        <v>4</v>
      </c>
      <c r="K10" s="13" t="s">
        <v>5</v>
      </c>
    </row>
    <row r="11" ht="15.75" customHeight="1">
      <c r="B11" s="14">
        <v>0.0</v>
      </c>
      <c r="C11" s="11" t="s">
        <v>6</v>
      </c>
      <c r="D11" s="11">
        <f>G10*G9</f>
        <v>8442002</v>
      </c>
      <c r="F11" s="9" t="s">
        <v>7</v>
      </c>
      <c r="G11" s="10" t="str">
        <f t="shared" ref="G11:G110" si="1">MID(TEXT(D11, "00000000"), 3, 4)</f>
        <v>4420</v>
      </c>
      <c r="H11" s="11"/>
      <c r="I11" s="9" t="s">
        <v>8</v>
      </c>
      <c r="J11" s="15">
        <f t="shared" ref="J11:J110" si="2">G11/10000</f>
        <v>0.442</v>
      </c>
      <c r="K11" s="13">
        <f t="shared" ref="K11:K110" si="3">MIN(14,INT(7+8*J11))</f>
        <v>10</v>
      </c>
      <c r="L11" s="16" t="s">
        <v>9</v>
      </c>
      <c r="M11" s="17"/>
    </row>
    <row r="12" ht="15.75" customHeight="1">
      <c r="B12" s="14">
        <v>1.0</v>
      </c>
      <c r="C12" s="11" t="s">
        <v>10</v>
      </c>
      <c r="D12" s="11">
        <f>G11*G9</f>
        <v>21273460</v>
      </c>
      <c r="F12" s="9" t="s">
        <v>11</v>
      </c>
      <c r="G12" s="10" t="str">
        <f t="shared" si="1"/>
        <v>2734</v>
      </c>
      <c r="H12" s="11"/>
      <c r="I12" s="9" t="s">
        <v>12</v>
      </c>
      <c r="J12" s="15">
        <f t="shared" si="2"/>
        <v>0.2734</v>
      </c>
      <c r="K12" s="13">
        <f t="shared" si="3"/>
        <v>9</v>
      </c>
      <c r="L12" s="18">
        <v>0.442</v>
      </c>
      <c r="M12" s="18">
        <v>0.0723</v>
      </c>
    </row>
    <row r="13" ht="15.75" customHeight="1">
      <c r="B13" s="14">
        <v>2.0</v>
      </c>
      <c r="C13" s="11" t="s">
        <v>13</v>
      </c>
      <c r="D13" s="11">
        <f>G12*G9</f>
        <v>13158742</v>
      </c>
      <c r="F13" s="9" t="s">
        <v>14</v>
      </c>
      <c r="G13" s="10" t="str">
        <f t="shared" si="1"/>
        <v>1587</v>
      </c>
      <c r="H13" s="11"/>
      <c r="I13" s="9" t="s">
        <v>15</v>
      </c>
      <c r="J13" s="15">
        <f t="shared" si="2"/>
        <v>0.1587</v>
      </c>
      <c r="K13" s="13">
        <f t="shared" si="3"/>
        <v>8</v>
      </c>
      <c r="L13" s="18">
        <v>0.2734</v>
      </c>
      <c r="M13" s="18">
        <v>0.4797</v>
      </c>
    </row>
    <row r="14" ht="15.75" customHeight="1">
      <c r="B14" s="14">
        <v>3.0</v>
      </c>
      <c r="C14" s="11" t="str">
        <f t="shared" ref="C14:C110" si="4">"Y"&amp;B14&amp;" = (X"&amp;B14&amp;")*a ="</f>
        <v>Y3 = (X3)*a =</v>
      </c>
      <c r="D14" s="11">
        <f t="shared" ref="D14:D110" si="5">G13*$G$9</f>
        <v>7638231</v>
      </c>
      <c r="F14" s="9" t="str">
        <f t="shared" ref="F14:F110" si="6">"X"&amp;B14+1&amp;" ="</f>
        <v>X4 =</v>
      </c>
      <c r="G14" s="10" t="str">
        <f t="shared" si="1"/>
        <v>6382</v>
      </c>
      <c r="H14" s="11"/>
      <c r="I14" s="9" t="s">
        <v>16</v>
      </c>
      <c r="J14" s="15">
        <f t="shared" si="2"/>
        <v>0.6382</v>
      </c>
      <c r="K14" s="13">
        <f t="shared" si="3"/>
        <v>12</v>
      </c>
      <c r="L14" s="18">
        <v>0.1587</v>
      </c>
      <c r="M14" s="18">
        <v>0.0879</v>
      </c>
    </row>
    <row r="15" ht="15.75" customHeight="1">
      <c r="B15" s="14">
        <v>4.0</v>
      </c>
      <c r="C15" s="11" t="str">
        <f t="shared" si="4"/>
        <v>Y4 = (X4)*a =</v>
      </c>
      <c r="D15" s="11">
        <f t="shared" si="5"/>
        <v>30716566</v>
      </c>
      <c r="F15" s="9" t="str">
        <f t="shared" si="6"/>
        <v>X5 =</v>
      </c>
      <c r="G15" s="10" t="str">
        <f t="shared" si="1"/>
        <v>7165</v>
      </c>
      <c r="H15" s="11"/>
      <c r="I15" s="9" t="s">
        <v>17</v>
      </c>
      <c r="J15" s="15">
        <f t="shared" si="2"/>
        <v>0.7165</v>
      </c>
      <c r="K15" s="13">
        <f t="shared" si="3"/>
        <v>12</v>
      </c>
      <c r="L15" s="18">
        <v>0.6382</v>
      </c>
      <c r="M15" s="18">
        <v>0.2306</v>
      </c>
    </row>
    <row r="16" ht="15.75" customHeight="1">
      <c r="B16" s="14">
        <v>5.0</v>
      </c>
      <c r="C16" s="11" t="str">
        <f t="shared" si="4"/>
        <v>Y5 = (X5)*a =</v>
      </c>
      <c r="D16" s="11">
        <f t="shared" si="5"/>
        <v>34485145</v>
      </c>
      <c r="F16" s="9" t="str">
        <f t="shared" si="6"/>
        <v>X6 =</v>
      </c>
      <c r="G16" s="10" t="str">
        <f t="shared" si="1"/>
        <v>4851</v>
      </c>
      <c r="H16" s="11"/>
      <c r="I16" s="9" t="s">
        <v>18</v>
      </c>
      <c r="J16" s="15">
        <f t="shared" si="2"/>
        <v>0.4851</v>
      </c>
      <c r="K16" s="13">
        <f t="shared" si="3"/>
        <v>10</v>
      </c>
      <c r="L16" s="18">
        <v>0.7165</v>
      </c>
      <c r="M16" s="18">
        <v>0.0987</v>
      </c>
      <c r="Y16" s="10"/>
    </row>
    <row r="17" ht="15.75" customHeight="1">
      <c r="B17" s="14">
        <v>6.0</v>
      </c>
      <c r="C17" s="11" t="str">
        <f t="shared" si="4"/>
        <v>Y6 = (X6)*a =</v>
      </c>
      <c r="D17" s="11">
        <f t="shared" si="5"/>
        <v>23347863</v>
      </c>
      <c r="F17" s="9" t="str">
        <f t="shared" si="6"/>
        <v>X7 =</v>
      </c>
      <c r="G17" s="10" t="str">
        <f t="shared" si="1"/>
        <v>3478</v>
      </c>
      <c r="H17" s="11"/>
      <c r="I17" s="9" t="s">
        <v>19</v>
      </c>
      <c r="J17" s="15">
        <f t="shared" si="2"/>
        <v>0.3478</v>
      </c>
      <c r="K17" s="13">
        <f t="shared" si="3"/>
        <v>9</v>
      </c>
      <c r="L17" s="18">
        <v>0.4851</v>
      </c>
      <c r="M17" s="18">
        <v>0.7504</v>
      </c>
      <c r="Y17" s="10"/>
    </row>
    <row r="18" ht="15.75" customHeight="1">
      <c r="B18" s="14">
        <v>7.0</v>
      </c>
      <c r="C18" s="11" t="str">
        <f t="shared" si="4"/>
        <v>Y7 = (X7)*a =</v>
      </c>
      <c r="D18" s="11">
        <f t="shared" si="5"/>
        <v>16739614</v>
      </c>
      <c r="F18" s="9" t="str">
        <f t="shared" si="6"/>
        <v>X8 =</v>
      </c>
      <c r="G18" s="10" t="str">
        <f t="shared" si="1"/>
        <v>7396</v>
      </c>
      <c r="H18" s="11"/>
      <c r="I18" s="9" t="s">
        <v>20</v>
      </c>
      <c r="J18" s="15">
        <f t="shared" si="2"/>
        <v>0.7396</v>
      </c>
      <c r="K18" s="13">
        <f t="shared" si="3"/>
        <v>12</v>
      </c>
      <c r="L18" s="18">
        <v>0.3478</v>
      </c>
      <c r="M18" s="18">
        <v>0.1167</v>
      </c>
      <c r="Y18" s="10"/>
    </row>
    <row r="19" ht="15.75" customHeight="1">
      <c r="B19" s="14">
        <v>8.0</v>
      </c>
      <c r="C19" s="11" t="str">
        <f t="shared" si="4"/>
        <v>Y8 = (X8)*a =</v>
      </c>
      <c r="D19" s="11">
        <f t="shared" si="5"/>
        <v>35596948</v>
      </c>
      <c r="F19" s="9" t="str">
        <f t="shared" si="6"/>
        <v>X9 =</v>
      </c>
      <c r="G19" s="10" t="str">
        <f t="shared" si="1"/>
        <v>5969</v>
      </c>
      <c r="H19" s="11"/>
      <c r="I19" s="9" t="s">
        <v>21</v>
      </c>
      <c r="J19" s="15">
        <f t="shared" si="2"/>
        <v>0.5969</v>
      </c>
      <c r="K19" s="13">
        <f t="shared" si="3"/>
        <v>11</v>
      </c>
      <c r="L19" s="18">
        <v>0.7396</v>
      </c>
      <c r="M19" s="18">
        <v>0.6167</v>
      </c>
      <c r="Y19" s="10"/>
    </row>
    <row r="20" ht="15.75" customHeight="1">
      <c r="B20" s="14">
        <v>9.0</v>
      </c>
      <c r="C20" s="11" t="str">
        <f t="shared" si="4"/>
        <v>Y9 = (X9)*a =</v>
      </c>
      <c r="D20" s="11">
        <f t="shared" si="5"/>
        <v>28728797</v>
      </c>
      <c r="F20" s="9" t="str">
        <f t="shared" si="6"/>
        <v>X10 =</v>
      </c>
      <c r="G20" s="10" t="str">
        <f t="shared" si="1"/>
        <v>7287</v>
      </c>
      <c r="H20" s="11"/>
      <c r="I20" s="9" t="s">
        <v>22</v>
      </c>
      <c r="J20" s="15">
        <f t="shared" si="2"/>
        <v>0.7287</v>
      </c>
      <c r="K20" s="13">
        <f t="shared" si="3"/>
        <v>12</v>
      </c>
      <c r="L20" s="18">
        <v>0.5969</v>
      </c>
      <c r="M20" s="18">
        <v>0.6817</v>
      </c>
      <c r="Y20" s="10"/>
    </row>
    <row r="21" ht="15.75" customHeight="1">
      <c r="B21" s="14">
        <v>10.0</v>
      </c>
      <c r="C21" s="11" t="str">
        <f t="shared" si="4"/>
        <v>Y10 = (X10)*a =</v>
      </c>
      <c r="D21" s="11">
        <f t="shared" si="5"/>
        <v>35072331</v>
      </c>
      <c r="F21" s="9" t="str">
        <f t="shared" si="6"/>
        <v>X11 =</v>
      </c>
      <c r="G21" s="10" t="str">
        <f t="shared" si="1"/>
        <v>0723</v>
      </c>
      <c r="H21" s="11"/>
      <c r="I21" s="9" t="s">
        <v>23</v>
      </c>
      <c r="J21" s="15">
        <f t="shared" si="2"/>
        <v>0.0723</v>
      </c>
      <c r="K21" s="13">
        <f t="shared" si="3"/>
        <v>7</v>
      </c>
      <c r="L21" s="18">
        <v>0.7287</v>
      </c>
      <c r="M21" s="18">
        <v>0.8102</v>
      </c>
      <c r="Y21" s="10"/>
    </row>
    <row r="22" ht="15.75" customHeight="1">
      <c r="B22" s="14">
        <v>11.0</v>
      </c>
      <c r="C22" s="11" t="str">
        <f t="shared" si="4"/>
        <v>Y11 = (X11)*a =</v>
      </c>
      <c r="D22" s="11">
        <f t="shared" si="5"/>
        <v>3479799</v>
      </c>
      <c r="F22" s="9" t="str">
        <f t="shared" si="6"/>
        <v>X12 =</v>
      </c>
      <c r="G22" s="10" t="str">
        <f t="shared" si="1"/>
        <v>4797</v>
      </c>
      <c r="H22" s="11"/>
      <c r="I22" s="9" t="s">
        <v>24</v>
      </c>
      <c r="J22" s="15">
        <f t="shared" si="2"/>
        <v>0.4797</v>
      </c>
      <c r="K22" s="13">
        <f t="shared" si="3"/>
        <v>10</v>
      </c>
      <c r="L22" s="11" t="s">
        <v>25</v>
      </c>
      <c r="Y22" s="10"/>
    </row>
    <row r="23" ht="15.75" customHeight="1">
      <c r="B23" s="14">
        <v>12.0</v>
      </c>
      <c r="C23" s="11" t="str">
        <f t="shared" si="4"/>
        <v>Y12 = (X12)*a =</v>
      </c>
      <c r="D23" s="11">
        <f t="shared" si="5"/>
        <v>23087961</v>
      </c>
      <c r="F23" s="9" t="str">
        <f t="shared" si="6"/>
        <v>X13 =</v>
      </c>
      <c r="G23" s="10" t="str">
        <f t="shared" si="1"/>
        <v>0879</v>
      </c>
      <c r="H23" s="11"/>
      <c r="I23" s="9" t="s">
        <v>26</v>
      </c>
      <c r="J23" s="15">
        <f t="shared" si="2"/>
        <v>0.0879</v>
      </c>
      <c r="K23" s="13">
        <f t="shared" si="3"/>
        <v>7</v>
      </c>
      <c r="L23" s="11" t="s">
        <v>27</v>
      </c>
      <c r="Y23" s="10"/>
    </row>
    <row r="24" ht="15.75" customHeight="1">
      <c r="B24" s="14">
        <v>13.0</v>
      </c>
      <c r="C24" s="11" t="str">
        <f t="shared" si="4"/>
        <v>Y13 = (X13)*a =</v>
      </c>
      <c r="D24" s="11">
        <f t="shared" si="5"/>
        <v>4230627</v>
      </c>
      <c r="F24" s="9" t="str">
        <f t="shared" si="6"/>
        <v>X14 =</v>
      </c>
      <c r="G24" s="10" t="str">
        <f t="shared" si="1"/>
        <v>2306</v>
      </c>
      <c r="H24" s="11"/>
      <c r="I24" s="9" t="s">
        <v>28</v>
      </c>
      <c r="J24" s="15">
        <f t="shared" si="2"/>
        <v>0.2306</v>
      </c>
      <c r="K24" s="13">
        <f t="shared" si="3"/>
        <v>8</v>
      </c>
      <c r="L24" s="11" t="s">
        <v>29</v>
      </c>
      <c r="Y24" s="10"/>
    </row>
    <row r="25" ht="15.75" customHeight="1">
      <c r="B25" s="14">
        <v>14.0</v>
      </c>
      <c r="C25" s="11" t="str">
        <f t="shared" si="4"/>
        <v>Y14 = (X14)*a =</v>
      </c>
      <c r="D25" s="11">
        <f t="shared" si="5"/>
        <v>11098778</v>
      </c>
      <c r="F25" s="9" t="str">
        <f t="shared" si="6"/>
        <v>X15 =</v>
      </c>
      <c r="G25" s="10" t="str">
        <f t="shared" si="1"/>
        <v>0987</v>
      </c>
      <c r="H25" s="11"/>
      <c r="I25" s="9" t="s">
        <v>30</v>
      </c>
      <c r="J25" s="15">
        <f t="shared" si="2"/>
        <v>0.0987</v>
      </c>
      <c r="K25" s="13">
        <f t="shared" si="3"/>
        <v>7</v>
      </c>
      <c r="L25" s="11" t="s">
        <v>31</v>
      </c>
      <c r="Y25" s="10"/>
    </row>
    <row r="26" ht="15.75" customHeight="1">
      <c r="B26" s="14">
        <v>15.0</v>
      </c>
      <c r="C26" s="11" t="str">
        <f t="shared" si="4"/>
        <v>Y15 = (X15)*a =</v>
      </c>
      <c r="D26" s="11">
        <f t="shared" si="5"/>
        <v>4750431</v>
      </c>
      <c r="F26" s="9" t="str">
        <f t="shared" si="6"/>
        <v>X16 =</v>
      </c>
      <c r="G26" s="10" t="str">
        <f t="shared" si="1"/>
        <v>7504</v>
      </c>
      <c r="H26" s="11"/>
      <c r="I26" s="9" t="s">
        <v>32</v>
      </c>
      <c r="J26" s="15">
        <f t="shared" si="2"/>
        <v>0.7504</v>
      </c>
      <c r="K26" s="13">
        <f t="shared" si="3"/>
        <v>13</v>
      </c>
      <c r="L26" s="11" t="s">
        <v>33</v>
      </c>
    </row>
    <row r="27" ht="15.75" customHeight="1">
      <c r="B27" s="14">
        <v>16.0</v>
      </c>
      <c r="C27" s="11" t="str">
        <f t="shared" si="4"/>
        <v>Y16 = (X16)*a =</v>
      </c>
      <c r="D27" s="11">
        <f t="shared" si="5"/>
        <v>36116752</v>
      </c>
      <c r="F27" s="9" t="str">
        <f t="shared" si="6"/>
        <v>X17 =</v>
      </c>
      <c r="G27" s="10" t="str">
        <f t="shared" si="1"/>
        <v>1167</v>
      </c>
      <c r="H27" s="11"/>
      <c r="I27" s="9" t="s">
        <v>34</v>
      </c>
      <c r="J27" s="15">
        <f t="shared" si="2"/>
        <v>0.1167</v>
      </c>
      <c r="K27" s="13">
        <f t="shared" si="3"/>
        <v>7</v>
      </c>
    </row>
    <row r="28" ht="15.75" customHeight="1">
      <c r="B28" s="14">
        <v>17.0</v>
      </c>
      <c r="C28" s="11" t="str">
        <f t="shared" si="4"/>
        <v>Y17 = (X17)*a =</v>
      </c>
      <c r="D28" s="11">
        <f t="shared" si="5"/>
        <v>5616771</v>
      </c>
      <c r="F28" s="9" t="str">
        <f t="shared" si="6"/>
        <v>X18 =</v>
      </c>
      <c r="G28" s="10" t="str">
        <f t="shared" si="1"/>
        <v>6167</v>
      </c>
      <c r="H28" s="11"/>
      <c r="I28" s="9" t="s">
        <v>35</v>
      </c>
      <c r="J28" s="15">
        <f t="shared" si="2"/>
        <v>0.6167</v>
      </c>
      <c r="K28" s="13">
        <f t="shared" si="3"/>
        <v>11</v>
      </c>
    </row>
    <row r="29" ht="15.75" customHeight="1">
      <c r="B29" s="14">
        <v>18.0</v>
      </c>
      <c r="C29" s="11" t="str">
        <f t="shared" si="4"/>
        <v>Y18 = (X18)*a =</v>
      </c>
      <c r="D29" s="11">
        <f t="shared" si="5"/>
        <v>29681771</v>
      </c>
      <c r="F29" s="9" t="str">
        <f t="shared" si="6"/>
        <v>X19 =</v>
      </c>
      <c r="G29" s="10" t="str">
        <f t="shared" si="1"/>
        <v>6817</v>
      </c>
      <c r="H29" s="11"/>
      <c r="I29" s="9" t="s">
        <v>36</v>
      </c>
      <c r="J29" s="15">
        <f t="shared" si="2"/>
        <v>0.6817</v>
      </c>
      <c r="K29" s="13">
        <f t="shared" si="3"/>
        <v>12</v>
      </c>
    </row>
    <row r="30" ht="15.75" customHeight="1">
      <c r="B30" s="14">
        <v>19.0</v>
      </c>
      <c r="C30" s="11" t="str">
        <f t="shared" si="4"/>
        <v>Y19 = (X19)*a =</v>
      </c>
      <c r="D30" s="11">
        <f t="shared" si="5"/>
        <v>32810221</v>
      </c>
      <c r="F30" s="9" t="str">
        <f t="shared" si="6"/>
        <v>X20 =</v>
      </c>
      <c r="G30" s="10" t="str">
        <f t="shared" si="1"/>
        <v>8102</v>
      </c>
      <c r="H30" s="11"/>
      <c r="I30" s="9" t="s">
        <v>37</v>
      </c>
      <c r="J30" s="15">
        <f t="shared" si="2"/>
        <v>0.8102</v>
      </c>
      <c r="K30" s="13">
        <f t="shared" si="3"/>
        <v>13</v>
      </c>
    </row>
    <row r="31" ht="15.75" customHeight="1">
      <c r="B31" s="14">
        <v>20.0</v>
      </c>
      <c r="C31" s="11" t="str">
        <f t="shared" si="4"/>
        <v>Y20 = (X20)*a =</v>
      </c>
      <c r="D31" s="11">
        <f t="shared" si="5"/>
        <v>38994926</v>
      </c>
      <c r="F31" s="9" t="str">
        <f t="shared" si="6"/>
        <v>X21 =</v>
      </c>
      <c r="G31" s="10" t="str">
        <f t="shared" si="1"/>
        <v>9949</v>
      </c>
      <c r="H31" s="11"/>
      <c r="I31" s="9" t="s">
        <v>38</v>
      </c>
      <c r="J31" s="15">
        <f t="shared" si="2"/>
        <v>0.9949</v>
      </c>
      <c r="K31" s="13">
        <f t="shared" si="3"/>
        <v>14</v>
      </c>
    </row>
    <row r="32" ht="15.75" customHeight="1">
      <c r="B32" s="14">
        <v>21.0</v>
      </c>
      <c r="C32" s="11" t="str">
        <f t="shared" si="4"/>
        <v>Y21 = (X21)*a =</v>
      </c>
      <c r="D32" s="11">
        <f t="shared" si="5"/>
        <v>47884537</v>
      </c>
      <c r="F32" s="9" t="str">
        <f t="shared" si="6"/>
        <v>X22 =</v>
      </c>
      <c r="G32" s="10" t="str">
        <f t="shared" si="1"/>
        <v>8845</v>
      </c>
      <c r="H32" s="11"/>
      <c r="I32" s="9" t="s">
        <v>39</v>
      </c>
      <c r="J32" s="15">
        <f t="shared" si="2"/>
        <v>0.8845</v>
      </c>
      <c r="K32" s="13">
        <f t="shared" si="3"/>
        <v>14</v>
      </c>
      <c r="L32" s="10"/>
    </row>
    <row r="33" ht="15.75" customHeight="1">
      <c r="B33" s="14">
        <v>22.0</v>
      </c>
      <c r="C33" s="11" t="str">
        <f t="shared" si="4"/>
        <v>Y22 = (X22)*a =</v>
      </c>
      <c r="D33" s="11">
        <f t="shared" si="5"/>
        <v>42570985</v>
      </c>
      <c r="F33" s="9" t="str">
        <f t="shared" si="6"/>
        <v>X23 =</v>
      </c>
      <c r="G33" s="10" t="str">
        <f t="shared" si="1"/>
        <v>5709</v>
      </c>
      <c r="H33" s="11"/>
      <c r="I33" s="9" t="s">
        <v>40</v>
      </c>
      <c r="J33" s="15">
        <f t="shared" si="2"/>
        <v>0.5709</v>
      </c>
      <c r="K33" s="13">
        <f t="shared" si="3"/>
        <v>11</v>
      </c>
    </row>
    <row r="34" ht="15.75" customHeight="1">
      <c r="B34" s="14">
        <v>23.0</v>
      </c>
      <c r="C34" s="11" t="str">
        <f t="shared" si="4"/>
        <v>Y23 = (X23)*a =</v>
      </c>
      <c r="D34" s="11">
        <f t="shared" si="5"/>
        <v>27477417</v>
      </c>
      <c r="F34" s="9" t="str">
        <f t="shared" si="6"/>
        <v>X24 =</v>
      </c>
      <c r="G34" s="10" t="str">
        <f t="shared" si="1"/>
        <v>4774</v>
      </c>
      <c r="H34" s="11"/>
      <c r="I34" s="9" t="s">
        <v>41</v>
      </c>
      <c r="J34" s="15">
        <f t="shared" si="2"/>
        <v>0.4774</v>
      </c>
      <c r="K34" s="13">
        <f t="shared" si="3"/>
        <v>10</v>
      </c>
    </row>
    <row r="35" ht="15.75" customHeight="1">
      <c r="B35" s="14">
        <v>24.0</v>
      </c>
      <c r="C35" s="11" t="str">
        <f t="shared" si="4"/>
        <v>Y24 = (X24)*a =</v>
      </c>
      <c r="D35" s="11">
        <f t="shared" si="5"/>
        <v>22977262</v>
      </c>
      <c r="F35" s="9" t="str">
        <f t="shared" si="6"/>
        <v>X25 =</v>
      </c>
      <c r="G35" s="10" t="str">
        <f t="shared" si="1"/>
        <v>9772</v>
      </c>
      <c r="H35" s="11"/>
      <c r="I35" s="9" t="s">
        <v>42</v>
      </c>
      <c r="J35" s="15">
        <f t="shared" si="2"/>
        <v>0.9772</v>
      </c>
      <c r="K35" s="13">
        <f t="shared" si="3"/>
        <v>14</v>
      </c>
    </row>
    <row r="36" ht="15.75" customHeight="1">
      <c r="B36" s="14">
        <v>25.0</v>
      </c>
      <c r="C36" s="11" t="str">
        <f t="shared" si="4"/>
        <v>Y25 = (X25)*a =</v>
      </c>
      <c r="D36" s="11">
        <f t="shared" si="5"/>
        <v>47032636</v>
      </c>
      <c r="F36" s="9" t="str">
        <f t="shared" si="6"/>
        <v>X26 =</v>
      </c>
      <c r="G36" s="10" t="str">
        <f t="shared" si="1"/>
        <v>0326</v>
      </c>
      <c r="H36" s="11"/>
      <c r="I36" s="9" t="s">
        <v>43</v>
      </c>
      <c r="J36" s="15">
        <f t="shared" si="2"/>
        <v>0.0326</v>
      </c>
      <c r="K36" s="13">
        <f t="shared" si="3"/>
        <v>7</v>
      </c>
    </row>
    <row r="37" ht="15.75" customHeight="1">
      <c r="B37" s="14">
        <v>26.0</v>
      </c>
      <c r="C37" s="11" t="str">
        <f t="shared" si="4"/>
        <v>Y26 = (X26)*a =</v>
      </c>
      <c r="D37" s="11">
        <f t="shared" si="5"/>
        <v>1569038</v>
      </c>
      <c r="F37" s="9" t="str">
        <f t="shared" si="6"/>
        <v>X27 =</v>
      </c>
      <c r="G37" s="10" t="str">
        <f t="shared" si="1"/>
        <v>5690</v>
      </c>
      <c r="H37" s="11"/>
      <c r="I37" s="9" t="s">
        <v>44</v>
      </c>
      <c r="J37" s="15">
        <f t="shared" si="2"/>
        <v>0.569</v>
      </c>
      <c r="K37" s="13">
        <f t="shared" si="3"/>
        <v>11</v>
      </c>
    </row>
    <row r="38" ht="15.75" customHeight="1">
      <c r="B38" s="14">
        <v>27.0</v>
      </c>
      <c r="C38" s="11" t="str">
        <f t="shared" si="4"/>
        <v>Y27 = (X27)*a =</v>
      </c>
      <c r="D38" s="11">
        <f t="shared" si="5"/>
        <v>27385970</v>
      </c>
      <c r="F38" s="9" t="str">
        <f t="shared" si="6"/>
        <v>X28 =</v>
      </c>
      <c r="G38" s="10" t="str">
        <f t="shared" si="1"/>
        <v>3859</v>
      </c>
      <c r="H38" s="11"/>
      <c r="I38" s="9" t="s">
        <v>45</v>
      </c>
      <c r="J38" s="15">
        <f t="shared" si="2"/>
        <v>0.3859</v>
      </c>
      <c r="K38" s="13">
        <f t="shared" si="3"/>
        <v>10</v>
      </c>
    </row>
    <row r="39" ht="15.75" customHeight="1">
      <c r="B39" s="14">
        <v>28.0</v>
      </c>
      <c r="C39" s="11" t="str">
        <f t="shared" si="4"/>
        <v>Y28 = (X28)*a =</v>
      </c>
      <c r="D39" s="11">
        <f t="shared" si="5"/>
        <v>18573367</v>
      </c>
      <c r="F39" s="9" t="str">
        <f t="shared" si="6"/>
        <v>X29 =</v>
      </c>
      <c r="G39" s="10" t="str">
        <f t="shared" si="1"/>
        <v>5733</v>
      </c>
      <c r="H39" s="11"/>
      <c r="I39" s="9" t="s">
        <v>46</v>
      </c>
      <c r="J39" s="15">
        <f t="shared" si="2"/>
        <v>0.5733</v>
      </c>
      <c r="K39" s="13">
        <f t="shared" si="3"/>
        <v>11</v>
      </c>
    </row>
    <row r="40" ht="15.75" customHeight="1">
      <c r="B40" s="14">
        <v>29.0</v>
      </c>
      <c r="C40" s="11" t="str">
        <f t="shared" si="4"/>
        <v>Y29 = (X29)*a =</v>
      </c>
      <c r="D40" s="11">
        <f t="shared" si="5"/>
        <v>27592929</v>
      </c>
      <c r="F40" s="9" t="str">
        <f t="shared" si="6"/>
        <v>X30 =</v>
      </c>
      <c r="G40" s="10" t="str">
        <f t="shared" si="1"/>
        <v>5929</v>
      </c>
      <c r="H40" s="11"/>
      <c r="I40" s="9" t="s">
        <v>47</v>
      </c>
      <c r="J40" s="15">
        <f t="shared" si="2"/>
        <v>0.5929</v>
      </c>
      <c r="K40" s="13">
        <f t="shared" si="3"/>
        <v>11</v>
      </c>
    </row>
    <row r="41" ht="15.75" customHeight="1">
      <c r="B41" s="14">
        <v>30.0</v>
      </c>
      <c r="C41" s="11" t="str">
        <f t="shared" si="4"/>
        <v>Y30 = (X30)*a =</v>
      </c>
      <c r="D41" s="11">
        <f t="shared" si="5"/>
        <v>28536277</v>
      </c>
      <c r="F41" s="9" t="str">
        <f t="shared" si="6"/>
        <v>X31 =</v>
      </c>
      <c r="G41" s="10" t="str">
        <f t="shared" si="1"/>
        <v>5362</v>
      </c>
      <c r="H41" s="11"/>
      <c r="I41" s="9" t="s">
        <v>48</v>
      </c>
      <c r="J41" s="15">
        <f t="shared" si="2"/>
        <v>0.5362</v>
      </c>
      <c r="K41" s="13">
        <f t="shared" si="3"/>
        <v>11</v>
      </c>
    </row>
    <row r="42" ht="15.75" customHeight="1">
      <c r="B42" s="14">
        <v>31.0</v>
      </c>
      <c r="C42" s="11" t="str">
        <f t="shared" si="4"/>
        <v>Y31 = (X31)*a =</v>
      </c>
      <c r="D42" s="11">
        <f t="shared" si="5"/>
        <v>25807306</v>
      </c>
      <c r="F42" s="9" t="str">
        <f t="shared" si="6"/>
        <v>X32 =</v>
      </c>
      <c r="G42" s="10" t="str">
        <f t="shared" si="1"/>
        <v>8073</v>
      </c>
      <c r="H42" s="11"/>
      <c r="I42" s="9" t="s">
        <v>49</v>
      </c>
      <c r="J42" s="15">
        <f t="shared" si="2"/>
        <v>0.8073</v>
      </c>
      <c r="K42" s="13">
        <f t="shared" si="3"/>
        <v>13</v>
      </c>
    </row>
    <row r="43" ht="15.75" customHeight="1">
      <c r="B43" s="14">
        <v>32.0</v>
      </c>
      <c r="C43" s="11" t="str">
        <f t="shared" si="4"/>
        <v>Y32 = (X32)*a =</v>
      </c>
      <c r="D43" s="11">
        <f t="shared" si="5"/>
        <v>38855349</v>
      </c>
      <c r="F43" s="9" t="str">
        <f t="shared" si="6"/>
        <v>X33 =</v>
      </c>
      <c r="G43" s="10" t="str">
        <f t="shared" si="1"/>
        <v>8553</v>
      </c>
      <c r="H43" s="11"/>
      <c r="I43" s="9" t="s">
        <v>50</v>
      </c>
      <c r="J43" s="15">
        <f t="shared" si="2"/>
        <v>0.8553</v>
      </c>
      <c r="K43" s="13">
        <f t="shared" si="3"/>
        <v>13</v>
      </c>
    </row>
    <row r="44" ht="15.75" customHeight="1">
      <c r="B44" s="14">
        <v>33.0</v>
      </c>
      <c r="C44" s="11" t="str">
        <f t="shared" si="4"/>
        <v>Y33 = (X33)*a =</v>
      </c>
      <c r="D44" s="11">
        <f t="shared" si="5"/>
        <v>41165589</v>
      </c>
      <c r="F44" s="9" t="str">
        <f t="shared" si="6"/>
        <v>X34 =</v>
      </c>
      <c r="G44" s="10" t="str">
        <f t="shared" si="1"/>
        <v>1655</v>
      </c>
      <c r="H44" s="11"/>
      <c r="I44" s="9" t="s">
        <v>51</v>
      </c>
      <c r="J44" s="15">
        <f t="shared" si="2"/>
        <v>0.1655</v>
      </c>
      <c r="K44" s="13">
        <f t="shared" si="3"/>
        <v>8</v>
      </c>
    </row>
    <row r="45" ht="15.75" customHeight="1">
      <c r="B45" s="14">
        <v>34.0</v>
      </c>
      <c r="C45" s="11" t="str">
        <f t="shared" si="4"/>
        <v>Y34 = (X34)*a =</v>
      </c>
      <c r="D45" s="11">
        <f t="shared" si="5"/>
        <v>7965515</v>
      </c>
      <c r="F45" s="9" t="str">
        <f t="shared" si="6"/>
        <v>X35 =</v>
      </c>
      <c r="G45" s="10" t="str">
        <f t="shared" si="1"/>
        <v>9655</v>
      </c>
      <c r="H45" s="11"/>
      <c r="I45" s="9" t="s">
        <v>52</v>
      </c>
      <c r="J45" s="15">
        <f t="shared" si="2"/>
        <v>0.9655</v>
      </c>
      <c r="K45" s="13">
        <f t="shared" si="3"/>
        <v>14</v>
      </c>
    </row>
    <row r="46" ht="15.75" customHeight="1">
      <c r="B46" s="14">
        <v>35.0</v>
      </c>
      <c r="C46" s="11" t="str">
        <f t="shared" si="4"/>
        <v>Y35 = (X35)*a =</v>
      </c>
      <c r="D46" s="11">
        <f t="shared" si="5"/>
        <v>46469515</v>
      </c>
      <c r="F46" s="9" t="str">
        <f t="shared" si="6"/>
        <v>X36 =</v>
      </c>
      <c r="G46" s="10" t="str">
        <f t="shared" si="1"/>
        <v>4695</v>
      </c>
      <c r="H46" s="11"/>
      <c r="I46" s="9" t="s">
        <v>53</v>
      </c>
      <c r="J46" s="15">
        <f t="shared" si="2"/>
        <v>0.4695</v>
      </c>
      <c r="K46" s="13">
        <f t="shared" si="3"/>
        <v>10</v>
      </c>
    </row>
    <row r="47" ht="15.75" customHeight="1">
      <c r="B47" s="14">
        <v>36.0</v>
      </c>
      <c r="C47" s="11" t="str">
        <f t="shared" si="4"/>
        <v>Y36 = (X36)*a =</v>
      </c>
      <c r="D47" s="11">
        <f t="shared" si="5"/>
        <v>22597035</v>
      </c>
      <c r="F47" s="9" t="str">
        <f t="shared" si="6"/>
        <v>X37 =</v>
      </c>
      <c r="G47" s="10" t="str">
        <f t="shared" si="1"/>
        <v>5970</v>
      </c>
      <c r="H47" s="11"/>
      <c r="I47" s="9" t="s">
        <v>54</v>
      </c>
      <c r="J47" s="15">
        <f t="shared" si="2"/>
        <v>0.597</v>
      </c>
      <c r="K47" s="13">
        <f t="shared" si="3"/>
        <v>11</v>
      </c>
    </row>
    <row r="48" ht="15.75" customHeight="1">
      <c r="B48" s="14">
        <v>37.0</v>
      </c>
      <c r="C48" s="11" t="str">
        <f t="shared" si="4"/>
        <v>Y37 = (X37)*a =</v>
      </c>
      <c r="D48" s="11">
        <f t="shared" si="5"/>
        <v>28733610</v>
      </c>
      <c r="F48" s="9" t="str">
        <f t="shared" si="6"/>
        <v>X38 =</v>
      </c>
      <c r="G48" s="10" t="str">
        <f t="shared" si="1"/>
        <v>7336</v>
      </c>
      <c r="H48" s="11"/>
      <c r="I48" s="9" t="s">
        <v>55</v>
      </c>
      <c r="J48" s="15">
        <f t="shared" si="2"/>
        <v>0.7336</v>
      </c>
      <c r="K48" s="13">
        <f t="shared" si="3"/>
        <v>12</v>
      </c>
    </row>
    <row r="49" ht="15.75" customHeight="1">
      <c r="B49" s="14">
        <v>38.0</v>
      </c>
      <c r="C49" s="11" t="str">
        <f t="shared" si="4"/>
        <v>Y38 = (X38)*a =</v>
      </c>
      <c r="D49" s="11">
        <f t="shared" si="5"/>
        <v>35308168</v>
      </c>
      <c r="F49" s="9" t="str">
        <f t="shared" si="6"/>
        <v>X39 =</v>
      </c>
      <c r="G49" s="10" t="str">
        <f t="shared" si="1"/>
        <v>3081</v>
      </c>
      <c r="H49" s="11"/>
      <c r="I49" s="9" t="s">
        <v>56</v>
      </c>
      <c r="J49" s="15">
        <f t="shared" si="2"/>
        <v>0.3081</v>
      </c>
      <c r="K49" s="13">
        <f t="shared" si="3"/>
        <v>9</v>
      </c>
    </row>
    <row r="50" ht="15.75" customHeight="1">
      <c r="B50" s="14">
        <v>39.0</v>
      </c>
      <c r="C50" s="11" t="str">
        <f t="shared" si="4"/>
        <v>Y39 = (X39)*a =</v>
      </c>
      <c r="D50" s="11">
        <f t="shared" si="5"/>
        <v>14828853</v>
      </c>
      <c r="F50" s="9" t="str">
        <f t="shared" si="6"/>
        <v>X40 =</v>
      </c>
      <c r="G50" s="10" t="str">
        <f t="shared" si="1"/>
        <v>8288</v>
      </c>
      <c r="H50" s="11"/>
      <c r="I50" s="9" t="s">
        <v>57</v>
      </c>
      <c r="J50" s="15">
        <f t="shared" si="2"/>
        <v>0.8288</v>
      </c>
      <c r="K50" s="13">
        <f t="shared" si="3"/>
        <v>13</v>
      </c>
    </row>
    <row r="51" ht="15.75" customHeight="1">
      <c r="B51" s="14">
        <v>40.0</v>
      </c>
      <c r="C51" s="11" t="str">
        <f t="shared" si="4"/>
        <v>Y40 = (X40)*a =</v>
      </c>
      <c r="D51" s="11">
        <f t="shared" si="5"/>
        <v>39890144</v>
      </c>
      <c r="F51" s="9" t="str">
        <f t="shared" si="6"/>
        <v>X41 =</v>
      </c>
      <c r="G51" s="10" t="str">
        <f t="shared" si="1"/>
        <v>8901</v>
      </c>
      <c r="H51" s="11"/>
      <c r="I51" s="9" t="s">
        <v>58</v>
      </c>
      <c r="J51" s="15">
        <f t="shared" si="2"/>
        <v>0.8901</v>
      </c>
      <c r="K51" s="13">
        <f t="shared" si="3"/>
        <v>14</v>
      </c>
    </row>
    <row r="52" ht="15.75" customHeight="1">
      <c r="B52" s="14">
        <v>41.0</v>
      </c>
      <c r="C52" s="11" t="str">
        <f t="shared" si="4"/>
        <v>Y41 = (X41)*a =</v>
      </c>
      <c r="D52" s="11">
        <f t="shared" si="5"/>
        <v>42840513</v>
      </c>
      <c r="F52" s="9" t="str">
        <f t="shared" si="6"/>
        <v>X42 =</v>
      </c>
      <c r="G52" s="10" t="str">
        <f t="shared" si="1"/>
        <v>8405</v>
      </c>
      <c r="H52" s="11"/>
      <c r="I52" s="9" t="s">
        <v>59</v>
      </c>
      <c r="J52" s="15">
        <f t="shared" si="2"/>
        <v>0.8405</v>
      </c>
      <c r="K52" s="13">
        <f t="shared" si="3"/>
        <v>13</v>
      </c>
    </row>
    <row r="53" ht="15.75" customHeight="1">
      <c r="B53" s="14">
        <v>42.0</v>
      </c>
      <c r="C53" s="11" t="str">
        <f t="shared" si="4"/>
        <v>Y42 = (X42)*a =</v>
      </c>
      <c r="D53" s="11">
        <f t="shared" si="5"/>
        <v>40453265</v>
      </c>
      <c r="F53" s="9" t="str">
        <f t="shared" si="6"/>
        <v>X43 =</v>
      </c>
      <c r="G53" s="10" t="str">
        <f t="shared" si="1"/>
        <v>4532</v>
      </c>
      <c r="H53" s="11"/>
      <c r="I53" s="9" t="s">
        <v>60</v>
      </c>
      <c r="J53" s="15">
        <f t="shared" si="2"/>
        <v>0.4532</v>
      </c>
      <c r="K53" s="13">
        <f t="shared" si="3"/>
        <v>10</v>
      </c>
    </row>
    <row r="54" ht="15.75" customHeight="1">
      <c r="B54" s="14">
        <v>43.0</v>
      </c>
      <c r="C54" s="11" t="str">
        <f t="shared" si="4"/>
        <v>Y43 = (X43)*a =</v>
      </c>
      <c r="D54" s="11">
        <f t="shared" si="5"/>
        <v>21812516</v>
      </c>
      <c r="F54" s="9" t="str">
        <f t="shared" si="6"/>
        <v>X44 =</v>
      </c>
      <c r="G54" s="10" t="str">
        <f t="shared" si="1"/>
        <v>8125</v>
      </c>
      <c r="H54" s="11"/>
      <c r="I54" s="9" t="s">
        <v>61</v>
      </c>
      <c r="J54" s="15">
        <f t="shared" si="2"/>
        <v>0.8125</v>
      </c>
      <c r="K54" s="13">
        <f t="shared" si="3"/>
        <v>13</v>
      </c>
    </row>
    <row r="55" ht="15.75" customHeight="1">
      <c r="B55" s="14">
        <v>44.0</v>
      </c>
      <c r="C55" s="11" t="str">
        <f t="shared" si="4"/>
        <v>Y44 = (X44)*a =</v>
      </c>
      <c r="D55" s="11">
        <f t="shared" si="5"/>
        <v>39105625</v>
      </c>
      <c r="F55" s="9" t="str">
        <f t="shared" si="6"/>
        <v>X45 =</v>
      </c>
      <c r="G55" s="10" t="str">
        <f t="shared" si="1"/>
        <v>1056</v>
      </c>
      <c r="H55" s="11"/>
      <c r="I55" s="9" t="s">
        <v>62</v>
      </c>
      <c r="J55" s="15">
        <f t="shared" si="2"/>
        <v>0.1056</v>
      </c>
      <c r="K55" s="13">
        <f t="shared" si="3"/>
        <v>7</v>
      </c>
    </row>
    <row r="56" ht="15.75" customHeight="1">
      <c r="B56" s="14">
        <v>45.0</v>
      </c>
      <c r="C56" s="11" t="str">
        <f t="shared" si="4"/>
        <v>Y45 = (X45)*a =</v>
      </c>
      <c r="D56" s="11">
        <f t="shared" si="5"/>
        <v>5082528</v>
      </c>
      <c r="F56" s="9" t="str">
        <f t="shared" si="6"/>
        <v>X46 =</v>
      </c>
      <c r="G56" s="10" t="str">
        <f t="shared" si="1"/>
        <v>0825</v>
      </c>
      <c r="H56" s="11"/>
      <c r="I56" s="9" t="s">
        <v>63</v>
      </c>
      <c r="J56" s="15">
        <f t="shared" si="2"/>
        <v>0.0825</v>
      </c>
      <c r="K56" s="13">
        <f t="shared" si="3"/>
        <v>7</v>
      </c>
    </row>
    <row r="57" ht="15.75" customHeight="1">
      <c r="B57" s="14">
        <v>46.0</v>
      </c>
      <c r="C57" s="11" t="str">
        <f t="shared" si="4"/>
        <v>Y46 = (X46)*a =</v>
      </c>
      <c r="D57" s="11">
        <f t="shared" si="5"/>
        <v>3970725</v>
      </c>
      <c r="F57" s="9" t="str">
        <f t="shared" si="6"/>
        <v>X47 =</v>
      </c>
      <c r="G57" s="10" t="str">
        <f t="shared" si="1"/>
        <v>9707</v>
      </c>
      <c r="H57" s="11"/>
      <c r="I57" s="9" t="s">
        <v>64</v>
      </c>
      <c r="J57" s="15">
        <f t="shared" si="2"/>
        <v>0.9707</v>
      </c>
      <c r="K57" s="13">
        <f t="shared" si="3"/>
        <v>14</v>
      </c>
    </row>
    <row r="58" ht="15.75" customHeight="1">
      <c r="B58" s="14">
        <v>47.0</v>
      </c>
      <c r="C58" s="11" t="str">
        <f t="shared" si="4"/>
        <v>Y47 = (X47)*a =</v>
      </c>
      <c r="D58" s="11">
        <f t="shared" si="5"/>
        <v>46719791</v>
      </c>
      <c r="F58" s="9" t="str">
        <f t="shared" si="6"/>
        <v>X48 =</v>
      </c>
      <c r="G58" s="10" t="str">
        <f t="shared" si="1"/>
        <v>7197</v>
      </c>
      <c r="H58" s="11"/>
      <c r="I58" s="9" t="s">
        <v>65</v>
      </c>
      <c r="J58" s="15">
        <f t="shared" si="2"/>
        <v>0.7197</v>
      </c>
      <c r="K58" s="13">
        <f t="shared" si="3"/>
        <v>12</v>
      </c>
    </row>
    <row r="59" ht="15.75" customHeight="1">
      <c r="B59" s="14">
        <v>48.0</v>
      </c>
      <c r="C59" s="11" t="str">
        <f t="shared" si="4"/>
        <v>Y48 = (X48)*a =</v>
      </c>
      <c r="D59" s="11">
        <f t="shared" si="5"/>
        <v>34639161</v>
      </c>
      <c r="F59" s="9" t="str">
        <f t="shared" si="6"/>
        <v>X49 =</v>
      </c>
      <c r="G59" s="10" t="str">
        <f t="shared" si="1"/>
        <v>6391</v>
      </c>
      <c r="H59" s="11"/>
      <c r="I59" s="9" t="s">
        <v>66</v>
      </c>
      <c r="J59" s="15">
        <f t="shared" si="2"/>
        <v>0.6391</v>
      </c>
      <c r="K59" s="13">
        <f t="shared" si="3"/>
        <v>12</v>
      </c>
    </row>
    <row r="60" ht="15.75" customHeight="1">
      <c r="B60" s="14">
        <v>49.0</v>
      </c>
      <c r="C60" s="11" t="str">
        <f t="shared" si="4"/>
        <v>Y49 = (X49)*a =</v>
      </c>
      <c r="D60" s="11">
        <f t="shared" si="5"/>
        <v>30759883</v>
      </c>
      <c r="F60" s="9" t="str">
        <f t="shared" si="6"/>
        <v>X50 =</v>
      </c>
      <c r="G60" s="10" t="str">
        <f t="shared" si="1"/>
        <v>7598</v>
      </c>
      <c r="H60" s="11"/>
      <c r="I60" s="9" t="s">
        <v>67</v>
      </c>
      <c r="J60" s="15">
        <f t="shared" si="2"/>
        <v>0.7598</v>
      </c>
      <c r="K60" s="13">
        <f t="shared" si="3"/>
        <v>13</v>
      </c>
    </row>
    <row r="61" ht="15.75" customHeight="1">
      <c r="B61" s="14">
        <v>50.0</v>
      </c>
      <c r="C61" s="11" t="str">
        <f t="shared" si="4"/>
        <v>Y50 = (X50)*a =</v>
      </c>
      <c r="D61" s="11">
        <f t="shared" si="5"/>
        <v>36569174</v>
      </c>
      <c r="F61" s="9" t="str">
        <f t="shared" si="6"/>
        <v>X51 =</v>
      </c>
      <c r="G61" s="10" t="str">
        <f t="shared" si="1"/>
        <v>5691</v>
      </c>
      <c r="H61" s="11"/>
      <c r="I61" s="9" t="s">
        <v>68</v>
      </c>
      <c r="J61" s="15">
        <f t="shared" si="2"/>
        <v>0.5691</v>
      </c>
      <c r="K61" s="13">
        <f t="shared" si="3"/>
        <v>11</v>
      </c>
    </row>
    <row r="62" ht="15.75" customHeight="1">
      <c r="B62" s="14">
        <v>51.0</v>
      </c>
      <c r="C62" s="11" t="str">
        <f t="shared" si="4"/>
        <v>Y51 = (X51)*a =</v>
      </c>
      <c r="D62" s="11">
        <f t="shared" si="5"/>
        <v>27390783</v>
      </c>
      <c r="F62" s="9" t="str">
        <f t="shared" si="6"/>
        <v>X52 =</v>
      </c>
      <c r="G62" s="10" t="str">
        <f t="shared" si="1"/>
        <v>3907</v>
      </c>
      <c r="H62" s="11"/>
      <c r="I62" s="9" t="s">
        <v>69</v>
      </c>
      <c r="J62" s="15">
        <f t="shared" si="2"/>
        <v>0.3907</v>
      </c>
      <c r="K62" s="13">
        <f t="shared" si="3"/>
        <v>10</v>
      </c>
    </row>
    <row r="63" ht="15.75" customHeight="1">
      <c r="B63" s="14">
        <v>52.0</v>
      </c>
      <c r="C63" s="11" t="str">
        <f t="shared" si="4"/>
        <v>Y52 = (X52)*a =</v>
      </c>
      <c r="D63" s="11">
        <f t="shared" si="5"/>
        <v>18804391</v>
      </c>
      <c r="F63" s="9" t="str">
        <f t="shared" si="6"/>
        <v>X53 =</v>
      </c>
      <c r="G63" s="10" t="str">
        <f t="shared" si="1"/>
        <v>8043</v>
      </c>
      <c r="H63" s="11"/>
      <c r="I63" s="9" t="s">
        <v>70</v>
      </c>
      <c r="J63" s="15">
        <f t="shared" si="2"/>
        <v>0.8043</v>
      </c>
      <c r="K63" s="13">
        <f t="shared" si="3"/>
        <v>13</v>
      </c>
    </row>
    <row r="64" ht="15.75" customHeight="1">
      <c r="B64" s="14">
        <v>53.0</v>
      </c>
      <c r="C64" s="11" t="str">
        <f t="shared" si="4"/>
        <v>Y53 = (X53)*a =</v>
      </c>
      <c r="D64" s="11">
        <f t="shared" si="5"/>
        <v>38710959</v>
      </c>
      <c r="F64" s="9" t="str">
        <f t="shared" si="6"/>
        <v>X54 =</v>
      </c>
      <c r="G64" s="10" t="str">
        <f t="shared" si="1"/>
        <v>7109</v>
      </c>
      <c r="H64" s="11"/>
      <c r="I64" s="9" t="s">
        <v>71</v>
      </c>
      <c r="J64" s="15">
        <f t="shared" si="2"/>
        <v>0.7109</v>
      </c>
      <c r="K64" s="13">
        <f t="shared" si="3"/>
        <v>12</v>
      </c>
    </row>
    <row r="65" ht="15.75" customHeight="1">
      <c r="B65" s="14">
        <v>54.0</v>
      </c>
      <c r="C65" s="11" t="str">
        <f t="shared" si="4"/>
        <v>Y54 = (X54)*a =</v>
      </c>
      <c r="D65" s="11">
        <f t="shared" si="5"/>
        <v>34215617</v>
      </c>
      <c r="F65" s="9" t="str">
        <f t="shared" si="6"/>
        <v>X55 =</v>
      </c>
      <c r="G65" s="10" t="str">
        <f t="shared" si="1"/>
        <v>2156</v>
      </c>
      <c r="H65" s="11"/>
      <c r="I65" s="9" t="s">
        <v>72</v>
      </c>
      <c r="J65" s="15">
        <f t="shared" si="2"/>
        <v>0.2156</v>
      </c>
      <c r="K65" s="13">
        <f t="shared" si="3"/>
        <v>8</v>
      </c>
    </row>
    <row r="66" ht="15.75" customHeight="1">
      <c r="B66" s="14">
        <v>55.0</v>
      </c>
      <c r="C66" s="11" t="str">
        <f t="shared" si="4"/>
        <v>Y55 = (X55)*a =</v>
      </c>
      <c r="D66" s="11">
        <f t="shared" si="5"/>
        <v>10376828</v>
      </c>
      <c r="F66" s="9" t="str">
        <f t="shared" si="6"/>
        <v>X56 =</v>
      </c>
      <c r="G66" s="10" t="str">
        <f t="shared" si="1"/>
        <v>3768</v>
      </c>
      <c r="H66" s="11"/>
      <c r="I66" s="9" t="s">
        <v>73</v>
      </c>
      <c r="J66" s="15">
        <f t="shared" si="2"/>
        <v>0.3768</v>
      </c>
      <c r="K66" s="13">
        <f t="shared" si="3"/>
        <v>10</v>
      </c>
    </row>
    <row r="67" ht="15.75" customHeight="1">
      <c r="B67" s="14">
        <v>56.0</v>
      </c>
      <c r="C67" s="11" t="str">
        <f t="shared" si="4"/>
        <v>Y56 = (X56)*a =</v>
      </c>
      <c r="D67" s="11">
        <f t="shared" si="5"/>
        <v>18135384</v>
      </c>
      <c r="F67" s="9" t="str">
        <f t="shared" si="6"/>
        <v>X57 =</v>
      </c>
      <c r="G67" s="10" t="str">
        <f t="shared" si="1"/>
        <v>1353</v>
      </c>
      <c r="H67" s="11"/>
      <c r="I67" s="9" t="s">
        <v>74</v>
      </c>
      <c r="J67" s="15">
        <f t="shared" si="2"/>
        <v>0.1353</v>
      </c>
      <c r="K67" s="13">
        <f t="shared" si="3"/>
        <v>8</v>
      </c>
    </row>
    <row r="68" ht="15.75" customHeight="1">
      <c r="B68" s="14">
        <v>57.0</v>
      </c>
      <c r="C68" s="11" t="str">
        <f t="shared" si="4"/>
        <v>Y57 = (X57)*a =</v>
      </c>
      <c r="D68" s="11">
        <f t="shared" si="5"/>
        <v>6511989</v>
      </c>
      <c r="F68" s="9" t="str">
        <f t="shared" si="6"/>
        <v>X58 =</v>
      </c>
      <c r="G68" s="10" t="str">
        <f t="shared" si="1"/>
        <v>5119</v>
      </c>
      <c r="H68" s="11"/>
      <c r="I68" s="9" t="s">
        <v>75</v>
      </c>
      <c r="J68" s="15">
        <f t="shared" si="2"/>
        <v>0.5119</v>
      </c>
      <c r="K68" s="13">
        <f t="shared" si="3"/>
        <v>11</v>
      </c>
    </row>
    <row r="69" ht="15.75" customHeight="1">
      <c r="B69" s="14">
        <v>58.0</v>
      </c>
      <c r="C69" s="11" t="str">
        <f t="shared" si="4"/>
        <v>Y58 = (X58)*a =</v>
      </c>
      <c r="D69" s="11">
        <f t="shared" si="5"/>
        <v>24637747</v>
      </c>
      <c r="F69" s="9" t="str">
        <f t="shared" si="6"/>
        <v>X59 =</v>
      </c>
      <c r="G69" s="10" t="str">
        <f t="shared" si="1"/>
        <v>6377</v>
      </c>
      <c r="H69" s="11"/>
      <c r="I69" s="9" t="s">
        <v>76</v>
      </c>
      <c r="J69" s="15">
        <f t="shared" si="2"/>
        <v>0.6377</v>
      </c>
      <c r="K69" s="13">
        <f t="shared" si="3"/>
        <v>12</v>
      </c>
    </row>
    <row r="70" ht="15.75" customHeight="1">
      <c r="B70" s="14">
        <v>59.0</v>
      </c>
      <c r="C70" s="11" t="str">
        <f t="shared" si="4"/>
        <v>Y59 = (X59)*a =</v>
      </c>
      <c r="D70" s="11">
        <f t="shared" si="5"/>
        <v>30692501</v>
      </c>
      <c r="F70" s="9" t="str">
        <f t="shared" si="6"/>
        <v>X60 =</v>
      </c>
      <c r="G70" s="10" t="str">
        <f t="shared" si="1"/>
        <v>6925</v>
      </c>
      <c r="H70" s="11"/>
      <c r="I70" s="9" t="s">
        <v>77</v>
      </c>
      <c r="J70" s="15">
        <f t="shared" si="2"/>
        <v>0.6925</v>
      </c>
      <c r="K70" s="13">
        <f t="shared" si="3"/>
        <v>12</v>
      </c>
    </row>
    <row r="71" ht="15.75" customHeight="1">
      <c r="B71" s="14">
        <v>60.0</v>
      </c>
      <c r="C71" s="11" t="str">
        <f t="shared" si="4"/>
        <v>Y60 = (X60)*a =</v>
      </c>
      <c r="D71" s="11">
        <f t="shared" si="5"/>
        <v>33330025</v>
      </c>
      <c r="F71" s="9" t="str">
        <f t="shared" si="6"/>
        <v>X61 =</v>
      </c>
      <c r="G71" s="10" t="str">
        <f t="shared" si="1"/>
        <v>3300</v>
      </c>
      <c r="H71" s="11"/>
      <c r="I71" s="9" t="s">
        <v>78</v>
      </c>
      <c r="J71" s="15">
        <f t="shared" si="2"/>
        <v>0.33</v>
      </c>
      <c r="K71" s="13">
        <f t="shared" si="3"/>
        <v>9</v>
      </c>
    </row>
    <row r="72" ht="15.75" customHeight="1">
      <c r="B72" s="14">
        <v>61.0</v>
      </c>
      <c r="C72" s="11" t="str">
        <f t="shared" si="4"/>
        <v>Y61 = (X61)*a =</v>
      </c>
      <c r="D72" s="11">
        <f t="shared" si="5"/>
        <v>15882900</v>
      </c>
      <c r="F72" s="9" t="str">
        <f t="shared" si="6"/>
        <v>X62 =</v>
      </c>
      <c r="G72" s="10" t="str">
        <f t="shared" si="1"/>
        <v>8829</v>
      </c>
      <c r="H72" s="11"/>
      <c r="I72" s="9" t="s">
        <v>79</v>
      </c>
      <c r="J72" s="15">
        <f t="shared" si="2"/>
        <v>0.8829</v>
      </c>
      <c r="K72" s="13">
        <f t="shared" si="3"/>
        <v>14</v>
      </c>
    </row>
    <row r="73" ht="15.75" customHeight="1">
      <c r="B73" s="14">
        <v>62.0</v>
      </c>
      <c r="C73" s="11" t="str">
        <f t="shared" si="4"/>
        <v>Y62 = (X62)*a =</v>
      </c>
      <c r="D73" s="11">
        <f t="shared" si="5"/>
        <v>42493977</v>
      </c>
      <c r="F73" s="9" t="str">
        <f t="shared" si="6"/>
        <v>X63 =</v>
      </c>
      <c r="G73" s="10" t="str">
        <f t="shared" si="1"/>
        <v>4939</v>
      </c>
      <c r="H73" s="11"/>
      <c r="I73" s="9" t="s">
        <v>80</v>
      </c>
      <c r="J73" s="15">
        <f t="shared" si="2"/>
        <v>0.4939</v>
      </c>
      <c r="K73" s="13">
        <f t="shared" si="3"/>
        <v>10</v>
      </c>
    </row>
    <row r="74" ht="15.75" customHeight="1">
      <c r="B74" s="14">
        <v>63.0</v>
      </c>
      <c r="C74" s="11" t="str">
        <f t="shared" si="4"/>
        <v>Y63 = (X63)*a =</v>
      </c>
      <c r="D74" s="11">
        <f t="shared" si="5"/>
        <v>23771407</v>
      </c>
      <c r="F74" s="9" t="str">
        <f t="shared" si="6"/>
        <v>X64 =</v>
      </c>
      <c r="G74" s="10" t="str">
        <f t="shared" si="1"/>
        <v>7714</v>
      </c>
      <c r="H74" s="11"/>
      <c r="I74" s="9" t="s">
        <v>81</v>
      </c>
      <c r="J74" s="15">
        <f t="shared" si="2"/>
        <v>0.7714</v>
      </c>
      <c r="K74" s="13">
        <f t="shared" si="3"/>
        <v>13</v>
      </c>
    </row>
    <row r="75" ht="15.75" customHeight="1">
      <c r="B75" s="14">
        <v>64.0</v>
      </c>
      <c r="C75" s="11" t="str">
        <f t="shared" si="4"/>
        <v>Y64 = (X64)*a =</v>
      </c>
      <c r="D75" s="11">
        <f t="shared" si="5"/>
        <v>37127482</v>
      </c>
      <c r="F75" s="9" t="str">
        <f t="shared" si="6"/>
        <v>X65 =</v>
      </c>
      <c r="G75" s="10" t="str">
        <f t="shared" si="1"/>
        <v>1274</v>
      </c>
      <c r="H75" s="11"/>
      <c r="I75" s="9" t="s">
        <v>82</v>
      </c>
      <c r="J75" s="15">
        <f t="shared" si="2"/>
        <v>0.1274</v>
      </c>
      <c r="K75" s="13">
        <f t="shared" si="3"/>
        <v>8</v>
      </c>
    </row>
    <row r="76" ht="15.75" customHeight="1">
      <c r="B76" s="14">
        <v>65.0</v>
      </c>
      <c r="C76" s="11" t="str">
        <f t="shared" si="4"/>
        <v>Y65 = (X65)*a =</v>
      </c>
      <c r="D76" s="11">
        <f t="shared" si="5"/>
        <v>6131762</v>
      </c>
      <c r="F76" s="9" t="str">
        <f t="shared" si="6"/>
        <v>X66 =</v>
      </c>
      <c r="G76" s="10" t="str">
        <f t="shared" si="1"/>
        <v>1317</v>
      </c>
      <c r="H76" s="11"/>
      <c r="I76" s="9" t="s">
        <v>83</v>
      </c>
      <c r="J76" s="15">
        <f t="shared" si="2"/>
        <v>0.1317</v>
      </c>
      <c r="K76" s="13">
        <f t="shared" si="3"/>
        <v>8</v>
      </c>
    </row>
    <row r="77" ht="15.75" customHeight="1">
      <c r="B77" s="14">
        <v>66.0</v>
      </c>
      <c r="C77" s="11" t="str">
        <f t="shared" si="4"/>
        <v>Y66 = (X66)*a =</v>
      </c>
      <c r="D77" s="11">
        <f t="shared" si="5"/>
        <v>6338721</v>
      </c>
      <c r="F77" s="9" t="str">
        <f t="shared" si="6"/>
        <v>X67 =</v>
      </c>
      <c r="G77" s="10" t="str">
        <f t="shared" si="1"/>
        <v>3387</v>
      </c>
      <c r="H77" s="11"/>
      <c r="I77" s="9" t="s">
        <v>84</v>
      </c>
      <c r="J77" s="15">
        <f t="shared" si="2"/>
        <v>0.3387</v>
      </c>
      <c r="K77" s="13">
        <f t="shared" si="3"/>
        <v>9</v>
      </c>
    </row>
    <row r="78" ht="15.75" customHeight="1">
      <c r="B78" s="14">
        <v>67.0</v>
      </c>
      <c r="C78" s="11" t="str">
        <f t="shared" si="4"/>
        <v>Y67 = (X67)*a =</v>
      </c>
      <c r="D78" s="11">
        <f t="shared" si="5"/>
        <v>16301631</v>
      </c>
      <c r="F78" s="9" t="str">
        <f t="shared" si="6"/>
        <v>X68 =</v>
      </c>
      <c r="G78" s="10" t="str">
        <f t="shared" si="1"/>
        <v>3016</v>
      </c>
      <c r="H78" s="11"/>
      <c r="I78" s="9" t="s">
        <v>85</v>
      </c>
      <c r="J78" s="15">
        <f t="shared" si="2"/>
        <v>0.3016</v>
      </c>
      <c r="K78" s="13">
        <f t="shared" si="3"/>
        <v>9</v>
      </c>
    </row>
    <row r="79" ht="15.75" customHeight="1">
      <c r="B79" s="14">
        <v>68.0</v>
      </c>
      <c r="C79" s="11" t="str">
        <f t="shared" si="4"/>
        <v>Y68 = (X68)*a =</v>
      </c>
      <c r="D79" s="11">
        <f t="shared" si="5"/>
        <v>14516008</v>
      </c>
      <c r="F79" s="9" t="str">
        <f t="shared" si="6"/>
        <v>X69 =</v>
      </c>
      <c r="G79" s="10" t="str">
        <f t="shared" si="1"/>
        <v>5160</v>
      </c>
      <c r="H79" s="11"/>
      <c r="I79" s="9" t="s">
        <v>86</v>
      </c>
      <c r="J79" s="15">
        <f t="shared" si="2"/>
        <v>0.516</v>
      </c>
      <c r="K79" s="13">
        <f t="shared" si="3"/>
        <v>11</v>
      </c>
    </row>
    <row r="80" ht="15.75" customHeight="1">
      <c r="B80" s="14">
        <v>69.0</v>
      </c>
      <c r="C80" s="11" t="str">
        <f t="shared" si="4"/>
        <v>Y69 = (X69)*a =</v>
      </c>
      <c r="D80" s="11">
        <f t="shared" si="5"/>
        <v>24835080</v>
      </c>
      <c r="F80" s="9" t="str">
        <f t="shared" si="6"/>
        <v>X70 =</v>
      </c>
      <c r="G80" s="10" t="str">
        <f t="shared" si="1"/>
        <v>8350</v>
      </c>
      <c r="H80" s="11"/>
      <c r="I80" s="9" t="s">
        <v>87</v>
      </c>
      <c r="J80" s="15">
        <f t="shared" si="2"/>
        <v>0.835</v>
      </c>
      <c r="K80" s="13">
        <f t="shared" si="3"/>
        <v>13</v>
      </c>
    </row>
    <row r="81" ht="15.75" customHeight="1">
      <c r="B81" s="14">
        <v>70.0</v>
      </c>
      <c r="C81" s="11" t="str">
        <f t="shared" si="4"/>
        <v>Y70 = (X70)*a =</v>
      </c>
      <c r="D81" s="11">
        <f t="shared" si="5"/>
        <v>40188550</v>
      </c>
      <c r="F81" s="9" t="str">
        <f t="shared" si="6"/>
        <v>X71 =</v>
      </c>
      <c r="G81" s="10" t="str">
        <f t="shared" si="1"/>
        <v>1885</v>
      </c>
      <c r="H81" s="11"/>
      <c r="I81" s="9" t="s">
        <v>88</v>
      </c>
      <c r="J81" s="15">
        <f t="shared" si="2"/>
        <v>0.1885</v>
      </c>
      <c r="K81" s="13">
        <f t="shared" si="3"/>
        <v>8</v>
      </c>
    </row>
    <row r="82" ht="15.75" customHeight="1">
      <c r="B82" s="14">
        <v>71.0</v>
      </c>
      <c r="C82" s="11" t="str">
        <f t="shared" si="4"/>
        <v>Y71 = (X71)*a =</v>
      </c>
      <c r="D82" s="11">
        <f t="shared" si="5"/>
        <v>9072505</v>
      </c>
      <c r="F82" s="9" t="str">
        <f t="shared" si="6"/>
        <v>X72 =</v>
      </c>
      <c r="G82" s="10" t="str">
        <f t="shared" si="1"/>
        <v>0725</v>
      </c>
      <c r="H82" s="11"/>
      <c r="I82" s="9" t="s">
        <v>89</v>
      </c>
      <c r="J82" s="15">
        <f t="shared" si="2"/>
        <v>0.0725</v>
      </c>
      <c r="K82" s="13">
        <f t="shared" si="3"/>
        <v>7</v>
      </c>
    </row>
    <row r="83" ht="15.75" customHeight="1">
      <c r="B83" s="14">
        <v>72.0</v>
      </c>
      <c r="C83" s="11" t="str">
        <f t="shared" si="4"/>
        <v>Y72 = (X72)*a =</v>
      </c>
      <c r="D83" s="11">
        <f t="shared" si="5"/>
        <v>3489425</v>
      </c>
      <c r="F83" s="9" t="str">
        <f t="shared" si="6"/>
        <v>X73 =</v>
      </c>
      <c r="G83" s="10" t="str">
        <f t="shared" si="1"/>
        <v>4894</v>
      </c>
      <c r="H83" s="11"/>
      <c r="I83" s="9" t="s">
        <v>90</v>
      </c>
      <c r="J83" s="15">
        <f t="shared" si="2"/>
        <v>0.4894</v>
      </c>
      <c r="K83" s="13">
        <f t="shared" si="3"/>
        <v>10</v>
      </c>
    </row>
    <row r="84" ht="15.75" customHeight="1">
      <c r="B84" s="14">
        <v>73.0</v>
      </c>
      <c r="C84" s="11" t="str">
        <f t="shared" si="4"/>
        <v>Y73 = (X73)*a =</v>
      </c>
      <c r="D84" s="11">
        <f t="shared" si="5"/>
        <v>23554822</v>
      </c>
      <c r="F84" s="9" t="str">
        <f t="shared" si="6"/>
        <v>X74 =</v>
      </c>
      <c r="G84" s="10" t="str">
        <f t="shared" si="1"/>
        <v>5548</v>
      </c>
      <c r="H84" s="11"/>
      <c r="I84" s="9" t="s">
        <v>91</v>
      </c>
      <c r="J84" s="15">
        <f t="shared" si="2"/>
        <v>0.5548</v>
      </c>
      <c r="K84" s="13">
        <f t="shared" si="3"/>
        <v>11</v>
      </c>
    </row>
    <row r="85" ht="15.75" customHeight="1">
      <c r="B85" s="14">
        <v>74.0</v>
      </c>
      <c r="C85" s="11" t="str">
        <f t="shared" si="4"/>
        <v>Y74 = (X74)*a =</v>
      </c>
      <c r="D85" s="11">
        <f t="shared" si="5"/>
        <v>26702524</v>
      </c>
      <c r="F85" s="9" t="str">
        <f t="shared" si="6"/>
        <v>X75 =</v>
      </c>
      <c r="G85" s="10" t="str">
        <f t="shared" si="1"/>
        <v>7025</v>
      </c>
      <c r="H85" s="11"/>
      <c r="I85" s="9" t="s">
        <v>92</v>
      </c>
      <c r="J85" s="15">
        <f t="shared" si="2"/>
        <v>0.7025</v>
      </c>
      <c r="K85" s="13">
        <f t="shared" si="3"/>
        <v>12</v>
      </c>
    </row>
    <row r="86" ht="15.75" customHeight="1">
      <c r="B86" s="14">
        <v>75.0</v>
      </c>
      <c r="C86" s="11" t="str">
        <f t="shared" si="4"/>
        <v>Y75 = (X75)*a =</v>
      </c>
      <c r="D86" s="11">
        <f t="shared" si="5"/>
        <v>33811325</v>
      </c>
      <c r="F86" s="9" t="str">
        <f t="shared" si="6"/>
        <v>X76 =</v>
      </c>
      <c r="G86" s="10" t="str">
        <f t="shared" si="1"/>
        <v>8113</v>
      </c>
      <c r="H86" s="11"/>
      <c r="I86" s="9" t="s">
        <v>93</v>
      </c>
      <c r="J86" s="15">
        <f t="shared" si="2"/>
        <v>0.8113</v>
      </c>
      <c r="K86" s="13">
        <f t="shared" si="3"/>
        <v>13</v>
      </c>
    </row>
    <row r="87" ht="15.75" customHeight="1">
      <c r="B87" s="14">
        <v>76.0</v>
      </c>
      <c r="C87" s="11" t="str">
        <f t="shared" si="4"/>
        <v>Y76 = (X76)*a =</v>
      </c>
      <c r="D87" s="11">
        <f t="shared" si="5"/>
        <v>39047869</v>
      </c>
      <c r="F87" s="9" t="str">
        <f t="shared" si="6"/>
        <v>X77 =</v>
      </c>
      <c r="G87" s="10" t="str">
        <f t="shared" si="1"/>
        <v>0478</v>
      </c>
      <c r="H87" s="11"/>
      <c r="I87" s="9" t="s">
        <v>94</v>
      </c>
      <c r="J87" s="15">
        <f t="shared" si="2"/>
        <v>0.0478</v>
      </c>
      <c r="K87" s="13">
        <f t="shared" si="3"/>
        <v>7</v>
      </c>
    </row>
    <row r="88" ht="15.75" customHeight="1">
      <c r="B88" s="14">
        <v>77.0</v>
      </c>
      <c r="C88" s="11" t="str">
        <f t="shared" si="4"/>
        <v>Y77 = (X77)*a =</v>
      </c>
      <c r="D88" s="11">
        <f t="shared" si="5"/>
        <v>2300614</v>
      </c>
      <c r="F88" s="9" t="str">
        <f t="shared" si="6"/>
        <v>X78 =</v>
      </c>
      <c r="G88" s="10" t="str">
        <f t="shared" si="1"/>
        <v>3006</v>
      </c>
      <c r="H88" s="11"/>
      <c r="I88" s="9" t="s">
        <v>95</v>
      </c>
      <c r="J88" s="15">
        <f t="shared" si="2"/>
        <v>0.3006</v>
      </c>
      <c r="K88" s="13">
        <f t="shared" si="3"/>
        <v>9</v>
      </c>
    </row>
    <row r="89" ht="15.75" customHeight="1">
      <c r="B89" s="14">
        <v>78.0</v>
      </c>
      <c r="C89" s="11" t="str">
        <f t="shared" si="4"/>
        <v>Y78 = (X78)*a =</v>
      </c>
      <c r="D89" s="11">
        <f t="shared" si="5"/>
        <v>14467878</v>
      </c>
      <c r="F89" s="9" t="str">
        <f t="shared" si="6"/>
        <v>X79 =</v>
      </c>
      <c r="G89" s="10" t="str">
        <f t="shared" si="1"/>
        <v>4678</v>
      </c>
      <c r="H89" s="11"/>
      <c r="I89" s="9" t="s">
        <v>96</v>
      </c>
      <c r="J89" s="15">
        <f t="shared" si="2"/>
        <v>0.4678</v>
      </c>
      <c r="K89" s="13">
        <f t="shared" si="3"/>
        <v>10</v>
      </c>
    </row>
    <row r="90" ht="15.75" customHeight="1">
      <c r="B90" s="14">
        <v>79.0</v>
      </c>
      <c r="C90" s="11" t="str">
        <f t="shared" si="4"/>
        <v>Y79 = (X79)*a =</v>
      </c>
      <c r="D90" s="11">
        <f t="shared" si="5"/>
        <v>22515214</v>
      </c>
      <c r="F90" s="9" t="str">
        <f t="shared" si="6"/>
        <v>X80 =</v>
      </c>
      <c r="G90" s="10" t="str">
        <f t="shared" si="1"/>
        <v>5152</v>
      </c>
      <c r="H90" s="11"/>
      <c r="I90" s="9" t="s">
        <v>97</v>
      </c>
      <c r="J90" s="15">
        <f t="shared" si="2"/>
        <v>0.5152</v>
      </c>
      <c r="K90" s="13">
        <f t="shared" si="3"/>
        <v>11</v>
      </c>
    </row>
    <row r="91" ht="15.75" customHeight="1">
      <c r="B91" s="14">
        <v>80.0</v>
      </c>
      <c r="C91" s="11" t="str">
        <f t="shared" si="4"/>
        <v>Y80 = (X80)*a =</v>
      </c>
      <c r="D91" s="11">
        <f t="shared" si="5"/>
        <v>24796576</v>
      </c>
      <c r="F91" s="9" t="str">
        <f t="shared" si="6"/>
        <v>X81 =</v>
      </c>
      <c r="G91" s="10" t="str">
        <f t="shared" si="1"/>
        <v>7965</v>
      </c>
      <c r="H91" s="11"/>
      <c r="I91" s="9" t="s">
        <v>98</v>
      </c>
      <c r="J91" s="15">
        <f t="shared" si="2"/>
        <v>0.7965</v>
      </c>
      <c r="K91" s="13">
        <f t="shared" si="3"/>
        <v>13</v>
      </c>
    </row>
    <row r="92" ht="15.75" customHeight="1">
      <c r="B92" s="14">
        <v>81.0</v>
      </c>
      <c r="C92" s="11" t="str">
        <f t="shared" si="4"/>
        <v>Y81 = (X81)*a =</v>
      </c>
      <c r="D92" s="11">
        <f t="shared" si="5"/>
        <v>38335545</v>
      </c>
      <c r="F92" s="9" t="str">
        <f t="shared" si="6"/>
        <v>X82 =</v>
      </c>
      <c r="G92" s="10" t="str">
        <f t="shared" si="1"/>
        <v>3355</v>
      </c>
      <c r="H92" s="11"/>
      <c r="I92" s="9" t="s">
        <v>99</v>
      </c>
      <c r="J92" s="15">
        <f t="shared" si="2"/>
        <v>0.3355</v>
      </c>
      <c r="K92" s="13">
        <f t="shared" si="3"/>
        <v>9</v>
      </c>
    </row>
    <row r="93" ht="15.75" customHeight="1">
      <c r="B93" s="14">
        <v>82.0</v>
      </c>
      <c r="C93" s="11" t="str">
        <f t="shared" si="4"/>
        <v>Y82 = (X82)*a =</v>
      </c>
      <c r="D93" s="11">
        <f t="shared" si="5"/>
        <v>16147615</v>
      </c>
      <c r="F93" s="9" t="str">
        <f t="shared" si="6"/>
        <v>X83 =</v>
      </c>
      <c r="G93" s="10" t="str">
        <f t="shared" si="1"/>
        <v>1476</v>
      </c>
      <c r="H93" s="11"/>
      <c r="I93" s="9" t="s">
        <v>100</v>
      </c>
      <c r="J93" s="15">
        <f t="shared" si="2"/>
        <v>0.1476</v>
      </c>
      <c r="K93" s="13">
        <f t="shared" si="3"/>
        <v>8</v>
      </c>
    </row>
    <row r="94" ht="15.75" customHeight="1">
      <c r="B94" s="14">
        <v>83.0</v>
      </c>
      <c r="C94" s="11" t="str">
        <f t="shared" si="4"/>
        <v>Y83 = (X83)*a =</v>
      </c>
      <c r="D94" s="11">
        <f t="shared" si="5"/>
        <v>7103988</v>
      </c>
      <c r="F94" s="9" t="str">
        <f t="shared" si="6"/>
        <v>X84 =</v>
      </c>
      <c r="G94" s="10" t="str">
        <f t="shared" si="1"/>
        <v>1039</v>
      </c>
      <c r="H94" s="11"/>
      <c r="I94" s="9" t="s">
        <v>101</v>
      </c>
      <c r="J94" s="15">
        <f t="shared" si="2"/>
        <v>0.1039</v>
      </c>
      <c r="K94" s="13">
        <f t="shared" si="3"/>
        <v>7</v>
      </c>
    </row>
    <row r="95" ht="15.75" customHeight="1">
      <c r="B95" s="14">
        <v>84.0</v>
      </c>
      <c r="C95" s="11" t="str">
        <f t="shared" si="4"/>
        <v>Y84 = (X84)*a =</v>
      </c>
      <c r="D95" s="11">
        <f t="shared" si="5"/>
        <v>5000707</v>
      </c>
      <c r="F95" s="9" t="str">
        <f t="shared" si="6"/>
        <v>X85 =</v>
      </c>
      <c r="G95" s="10" t="str">
        <f t="shared" si="1"/>
        <v>0007</v>
      </c>
      <c r="H95" s="11"/>
      <c r="I95" s="9" t="s">
        <v>102</v>
      </c>
      <c r="J95" s="15">
        <f t="shared" si="2"/>
        <v>0.0007</v>
      </c>
      <c r="K95" s="13">
        <f t="shared" si="3"/>
        <v>7</v>
      </c>
    </row>
    <row r="96" ht="15.75" customHeight="1">
      <c r="B96" s="14">
        <v>85.0</v>
      </c>
      <c r="C96" s="11" t="str">
        <f t="shared" si="4"/>
        <v>Y85 = (X85)*a =</v>
      </c>
      <c r="D96" s="11">
        <f t="shared" si="5"/>
        <v>33691</v>
      </c>
      <c r="F96" s="9" t="str">
        <f t="shared" si="6"/>
        <v>X86 =</v>
      </c>
      <c r="G96" s="10" t="str">
        <f t="shared" si="1"/>
        <v>0336</v>
      </c>
      <c r="H96" s="11"/>
      <c r="I96" s="9" t="s">
        <v>103</v>
      </c>
      <c r="J96" s="15">
        <f t="shared" si="2"/>
        <v>0.0336</v>
      </c>
      <c r="K96" s="13">
        <f t="shared" si="3"/>
        <v>7</v>
      </c>
    </row>
    <row r="97" ht="15.75" customHeight="1">
      <c r="B97" s="14">
        <v>86.0</v>
      </c>
      <c r="C97" s="11" t="str">
        <f t="shared" si="4"/>
        <v>Y86 = (X86)*a =</v>
      </c>
      <c r="D97" s="11">
        <f t="shared" si="5"/>
        <v>1617168</v>
      </c>
      <c r="F97" s="9" t="str">
        <f t="shared" si="6"/>
        <v>X87 =</v>
      </c>
      <c r="G97" s="10" t="str">
        <f t="shared" si="1"/>
        <v>6171</v>
      </c>
      <c r="H97" s="11"/>
      <c r="I97" s="9" t="s">
        <v>104</v>
      </c>
      <c r="J97" s="15">
        <f t="shared" si="2"/>
        <v>0.6171</v>
      </c>
      <c r="K97" s="13">
        <f t="shared" si="3"/>
        <v>11</v>
      </c>
    </row>
    <row r="98" ht="15.75" customHeight="1">
      <c r="B98" s="14">
        <v>87.0</v>
      </c>
      <c r="C98" s="11" t="str">
        <f t="shared" si="4"/>
        <v>Y87 = (X87)*a =</v>
      </c>
      <c r="D98" s="11">
        <f t="shared" si="5"/>
        <v>29701023</v>
      </c>
      <c r="F98" s="9" t="str">
        <f t="shared" si="6"/>
        <v>X88 =</v>
      </c>
      <c r="G98" s="10" t="str">
        <f t="shared" si="1"/>
        <v>7010</v>
      </c>
      <c r="H98" s="11"/>
      <c r="I98" s="9" t="s">
        <v>105</v>
      </c>
      <c r="J98" s="15">
        <f t="shared" si="2"/>
        <v>0.701</v>
      </c>
      <c r="K98" s="13">
        <f t="shared" si="3"/>
        <v>12</v>
      </c>
    </row>
    <row r="99" ht="15.75" customHeight="1">
      <c r="B99" s="14">
        <v>88.0</v>
      </c>
      <c r="C99" s="11" t="str">
        <f t="shared" si="4"/>
        <v>Y88 = (X88)*a =</v>
      </c>
      <c r="D99" s="11">
        <f t="shared" si="5"/>
        <v>33739130</v>
      </c>
      <c r="F99" s="9" t="str">
        <f t="shared" si="6"/>
        <v>X89 =</v>
      </c>
      <c r="G99" s="10" t="str">
        <f t="shared" si="1"/>
        <v>7391</v>
      </c>
      <c r="H99" s="11"/>
      <c r="I99" s="9" t="s">
        <v>106</v>
      </c>
      <c r="J99" s="15">
        <f t="shared" si="2"/>
        <v>0.7391</v>
      </c>
      <c r="K99" s="13">
        <f t="shared" si="3"/>
        <v>12</v>
      </c>
    </row>
    <row r="100" ht="15.75" customHeight="1">
      <c r="B100" s="14">
        <v>89.0</v>
      </c>
      <c r="C100" s="11" t="str">
        <f t="shared" si="4"/>
        <v>Y89 = (X89)*a =</v>
      </c>
      <c r="D100" s="11">
        <f t="shared" si="5"/>
        <v>35572883</v>
      </c>
      <c r="F100" s="9" t="str">
        <f t="shared" si="6"/>
        <v>X90 =</v>
      </c>
      <c r="G100" s="10" t="str">
        <f t="shared" si="1"/>
        <v>5728</v>
      </c>
      <c r="H100" s="11"/>
      <c r="I100" s="9" t="s">
        <v>107</v>
      </c>
      <c r="J100" s="15">
        <f t="shared" si="2"/>
        <v>0.5728</v>
      </c>
      <c r="K100" s="13">
        <f t="shared" si="3"/>
        <v>11</v>
      </c>
    </row>
    <row r="101" ht="15.75" customHeight="1">
      <c r="B101" s="14">
        <v>90.0</v>
      </c>
      <c r="C101" s="11" t="str">
        <f t="shared" si="4"/>
        <v>Y90 = (X90)*a =</v>
      </c>
      <c r="D101" s="11">
        <f t="shared" si="5"/>
        <v>27568864</v>
      </c>
      <c r="F101" s="9" t="str">
        <f t="shared" si="6"/>
        <v>X91 =</v>
      </c>
      <c r="G101" s="10" t="str">
        <f t="shared" si="1"/>
        <v>5688</v>
      </c>
      <c r="H101" s="11"/>
      <c r="I101" s="9" t="s">
        <v>108</v>
      </c>
      <c r="J101" s="15">
        <f t="shared" si="2"/>
        <v>0.5688</v>
      </c>
      <c r="K101" s="13">
        <f t="shared" si="3"/>
        <v>11</v>
      </c>
    </row>
    <row r="102" ht="15.75" customHeight="1">
      <c r="B102" s="14">
        <v>91.0</v>
      </c>
      <c r="C102" s="11" t="str">
        <f t="shared" si="4"/>
        <v>Y91 = (X91)*a =</v>
      </c>
      <c r="D102" s="11">
        <f t="shared" si="5"/>
        <v>27376344</v>
      </c>
      <c r="F102" s="9" t="str">
        <f t="shared" si="6"/>
        <v>X92 =</v>
      </c>
      <c r="G102" s="10" t="str">
        <f t="shared" si="1"/>
        <v>3763</v>
      </c>
      <c r="H102" s="11"/>
      <c r="I102" s="9" t="s">
        <v>109</v>
      </c>
      <c r="J102" s="15">
        <f t="shared" si="2"/>
        <v>0.3763</v>
      </c>
      <c r="K102" s="13">
        <f t="shared" si="3"/>
        <v>10</v>
      </c>
    </row>
    <row r="103" ht="15.75" customHeight="1">
      <c r="B103" s="14">
        <v>92.0</v>
      </c>
      <c r="C103" s="11" t="str">
        <f t="shared" si="4"/>
        <v>Y92 = (X92)*a =</v>
      </c>
      <c r="D103" s="11">
        <f t="shared" si="5"/>
        <v>18111319</v>
      </c>
      <c r="F103" s="9" t="str">
        <f t="shared" si="6"/>
        <v>X93 =</v>
      </c>
      <c r="G103" s="10" t="str">
        <f t="shared" si="1"/>
        <v>1113</v>
      </c>
      <c r="H103" s="11"/>
      <c r="I103" s="9" t="s">
        <v>110</v>
      </c>
      <c r="J103" s="15">
        <f t="shared" si="2"/>
        <v>0.1113</v>
      </c>
      <c r="K103" s="13">
        <f t="shared" si="3"/>
        <v>7</v>
      </c>
    </row>
    <row r="104" ht="15.75" customHeight="1">
      <c r="B104" s="14">
        <v>93.0</v>
      </c>
      <c r="C104" s="11" t="str">
        <f t="shared" si="4"/>
        <v>Y93 = (X93)*a =</v>
      </c>
      <c r="D104" s="11">
        <f t="shared" si="5"/>
        <v>5356869</v>
      </c>
      <c r="F104" s="9" t="str">
        <f t="shared" si="6"/>
        <v>X94 =</v>
      </c>
      <c r="G104" s="10" t="str">
        <f t="shared" si="1"/>
        <v>3568</v>
      </c>
      <c r="H104" s="11"/>
      <c r="I104" s="9" t="s">
        <v>111</v>
      </c>
      <c r="J104" s="15">
        <f t="shared" si="2"/>
        <v>0.3568</v>
      </c>
      <c r="K104" s="13">
        <f t="shared" si="3"/>
        <v>9</v>
      </c>
    </row>
    <row r="105" ht="15.75" customHeight="1">
      <c r="B105" s="14">
        <v>94.0</v>
      </c>
      <c r="C105" s="11" t="str">
        <f t="shared" si="4"/>
        <v>Y94 = (X94)*a =</v>
      </c>
      <c r="D105" s="11">
        <f t="shared" si="5"/>
        <v>17172784</v>
      </c>
      <c r="F105" s="9" t="str">
        <f t="shared" si="6"/>
        <v>X95 =</v>
      </c>
      <c r="G105" s="10" t="str">
        <f t="shared" si="1"/>
        <v>1727</v>
      </c>
      <c r="H105" s="11"/>
      <c r="I105" s="9" t="s">
        <v>112</v>
      </c>
      <c r="J105" s="15">
        <f t="shared" si="2"/>
        <v>0.1727</v>
      </c>
      <c r="K105" s="13">
        <f t="shared" si="3"/>
        <v>8</v>
      </c>
    </row>
    <row r="106" ht="15.75" customHeight="1">
      <c r="B106" s="14">
        <v>95.0</v>
      </c>
      <c r="C106" s="11" t="str">
        <f t="shared" si="4"/>
        <v>Y95 = (X95)*a =</v>
      </c>
      <c r="D106" s="11">
        <f t="shared" si="5"/>
        <v>8312051</v>
      </c>
      <c r="F106" s="9" t="str">
        <f t="shared" si="6"/>
        <v>X96 =</v>
      </c>
      <c r="G106" s="10" t="str">
        <f t="shared" si="1"/>
        <v>3120</v>
      </c>
      <c r="H106" s="11"/>
      <c r="I106" s="9" t="s">
        <v>113</v>
      </c>
      <c r="J106" s="15">
        <f t="shared" si="2"/>
        <v>0.312</v>
      </c>
      <c r="K106" s="13">
        <f t="shared" si="3"/>
        <v>9</v>
      </c>
    </row>
    <row r="107" ht="15.75" customHeight="1">
      <c r="B107" s="14">
        <v>96.0</v>
      </c>
      <c r="C107" s="11" t="str">
        <f t="shared" si="4"/>
        <v>Y96 = (X96)*a =</v>
      </c>
      <c r="D107" s="11">
        <f t="shared" si="5"/>
        <v>15016560</v>
      </c>
      <c r="F107" s="9" t="str">
        <f t="shared" si="6"/>
        <v>X97 =</v>
      </c>
      <c r="G107" s="10" t="str">
        <f t="shared" si="1"/>
        <v>0165</v>
      </c>
      <c r="H107" s="11"/>
      <c r="I107" s="9" t="s">
        <v>114</v>
      </c>
      <c r="J107" s="15">
        <f t="shared" si="2"/>
        <v>0.0165</v>
      </c>
      <c r="K107" s="13">
        <f t="shared" si="3"/>
        <v>7</v>
      </c>
    </row>
    <row r="108" ht="15.75" customHeight="1">
      <c r="B108" s="14">
        <v>97.0</v>
      </c>
      <c r="C108" s="11" t="str">
        <f t="shared" si="4"/>
        <v>Y97 = (X97)*a =</v>
      </c>
      <c r="D108" s="11">
        <f t="shared" si="5"/>
        <v>794145</v>
      </c>
      <c r="F108" s="9" t="str">
        <f t="shared" si="6"/>
        <v>X98 =</v>
      </c>
      <c r="G108" s="10" t="str">
        <f t="shared" si="1"/>
        <v>7941</v>
      </c>
      <c r="H108" s="11"/>
      <c r="I108" s="9" t="s">
        <v>115</v>
      </c>
      <c r="J108" s="15">
        <f t="shared" si="2"/>
        <v>0.7941</v>
      </c>
      <c r="K108" s="13">
        <f t="shared" si="3"/>
        <v>13</v>
      </c>
    </row>
    <row r="109" ht="15.75" customHeight="1">
      <c r="B109" s="14">
        <v>98.0</v>
      </c>
      <c r="C109" s="11" t="str">
        <f t="shared" si="4"/>
        <v>Y98 = (X98)*a =</v>
      </c>
      <c r="D109" s="11">
        <f t="shared" si="5"/>
        <v>38220033</v>
      </c>
      <c r="F109" s="9" t="str">
        <f t="shared" si="6"/>
        <v>X99 =</v>
      </c>
      <c r="G109" s="10" t="str">
        <f t="shared" si="1"/>
        <v>2200</v>
      </c>
      <c r="H109" s="11"/>
      <c r="I109" s="9" t="s">
        <v>116</v>
      </c>
      <c r="J109" s="15">
        <f t="shared" si="2"/>
        <v>0.22</v>
      </c>
      <c r="K109" s="13">
        <f t="shared" si="3"/>
        <v>8</v>
      </c>
    </row>
    <row r="110" ht="15.75" customHeight="1">
      <c r="B110" s="14">
        <v>99.0</v>
      </c>
      <c r="C110" s="11" t="str">
        <f t="shared" si="4"/>
        <v>Y99 = (X99)*a =</v>
      </c>
      <c r="D110" s="11">
        <f t="shared" si="5"/>
        <v>10588600</v>
      </c>
      <c r="F110" s="9" t="str">
        <f t="shared" si="6"/>
        <v>X100 =</v>
      </c>
      <c r="G110" s="10" t="str">
        <f t="shared" si="1"/>
        <v>5886</v>
      </c>
      <c r="H110" s="11"/>
      <c r="I110" s="9" t="s">
        <v>117</v>
      </c>
      <c r="J110" s="15">
        <f t="shared" si="2"/>
        <v>0.5886</v>
      </c>
      <c r="K110" s="13">
        <f t="shared" si="3"/>
        <v>11</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5:M25"/>
    <mergeCell ref="L26:M26"/>
    <mergeCell ref="B2:J3"/>
    <mergeCell ref="B6:J8"/>
    <mergeCell ref="I10:J10"/>
    <mergeCell ref="L11:M11"/>
    <mergeCell ref="L22:N22"/>
    <mergeCell ref="L23:M23"/>
    <mergeCell ref="L24:M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sheetPr>
  <sheetViews>
    <sheetView workbookViewId="0"/>
  </sheetViews>
  <sheetFormatPr customHeight="1" defaultColWidth="12.63" defaultRowHeight="15.0"/>
  <cols>
    <col customWidth="1" min="1" max="2" width="12.63"/>
    <col customWidth="1" min="3" max="3" width="15.75"/>
    <col customWidth="1" min="4" max="6" width="12.63"/>
  </cols>
  <sheetData>
    <row r="1" ht="15.75" customHeight="1">
      <c r="A1" s="19" t="s">
        <v>118</v>
      </c>
      <c r="B1" s="20"/>
      <c r="C1" s="20"/>
      <c r="D1" s="20"/>
      <c r="E1" s="20"/>
      <c r="F1" s="20"/>
      <c r="G1" s="20"/>
      <c r="H1" s="20"/>
      <c r="I1" s="20"/>
      <c r="J1" s="20"/>
      <c r="K1" s="20"/>
      <c r="L1" s="20"/>
      <c r="M1" s="20"/>
      <c r="N1" s="20"/>
      <c r="O1" s="20"/>
      <c r="P1" s="20"/>
      <c r="Q1" s="20"/>
      <c r="R1" s="20"/>
      <c r="S1" s="20"/>
      <c r="T1" s="20"/>
      <c r="U1" s="20"/>
      <c r="V1" s="20"/>
      <c r="W1" s="20"/>
      <c r="X1" s="21"/>
    </row>
    <row r="2" ht="15.75" customHeight="1">
      <c r="A2" s="11"/>
      <c r="B2" s="11"/>
      <c r="C2" s="11"/>
      <c r="D2" s="11"/>
      <c r="E2" s="11"/>
      <c r="F2" s="11"/>
      <c r="G2" s="11"/>
      <c r="H2" s="11"/>
      <c r="I2" s="11" t="s">
        <v>119</v>
      </c>
      <c r="J2" s="11"/>
      <c r="K2" s="11"/>
      <c r="L2" s="11"/>
      <c r="M2" s="11"/>
      <c r="N2" s="11"/>
      <c r="O2" s="11"/>
      <c r="P2" s="11"/>
      <c r="Q2" s="11"/>
      <c r="R2" s="11"/>
      <c r="S2" s="11"/>
      <c r="T2" s="11"/>
      <c r="U2" s="11"/>
      <c r="V2" s="11"/>
      <c r="W2" s="11"/>
      <c r="X2" s="11"/>
    </row>
    <row r="3" ht="15.75" customHeight="1">
      <c r="A3" s="22"/>
      <c r="B3" s="23">
        <v>0.442</v>
      </c>
      <c r="C3" s="11" t="s">
        <v>120</v>
      </c>
      <c r="D3" s="24" t="s">
        <v>121</v>
      </c>
      <c r="E3" s="10">
        <v>100.0</v>
      </c>
      <c r="F3" s="11"/>
      <c r="G3" s="11"/>
      <c r="H3" s="11"/>
      <c r="I3" s="25" t="s">
        <v>122</v>
      </c>
      <c r="J3" s="26">
        <v>0.05</v>
      </c>
      <c r="K3" s="27">
        <v>0.05</v>
      </c>
      <c r="L3" s="11"/>
      <c r="M3" s="28" t="s">
        <v>123</v>
      </c>
      <c r="O3" s="29">
        <f>1-K3</f>
        <v>0.95</v>
      </c>
      <c r="P3" s="11"/>
      <c r="Q3" s="11"/>
      <c r="R3" s="11"/>
      <c r="S3" s="11"/>
      <c r="T3" s="11"/>
      <c r="U3" s="11"/>
      <c r="V3" s="11"/>
      <c r="W3" s="11"/>
      <c r="X3" s="11"/>
    </row>
    <row r="4" ht="15.75" customHeight="1">
      <c r="A4" s="22"/>
      <c r="B4" s="23">
        <v>0.2734</v>
      </c>
      <c r="C4" s="30" t="s">
        <v>124</v>
      </c>
      <c r="D4" s="24" t="s">
        <v>125</v>
      </c>
      <c r="E4" s="10">
        <f>(SUM(B3:B1012))/$E$3</f>
        <v>0.491596</v>
      </c>
      <c r="F4" s="31">
        <f>AVERAGE(B3:B1012)</f>
        <v>0.491596</v>
      </c>
      <c r="G4" s="15"/>
      <c r="H4" s="15"/>
      <c r="I4" s="32" t="s">
        <v>126</v>
      </c>
      <c r="J4" s="31">
        <f>K3/2</f>
        <v>0.025</v>
      </c>
      <c r="K4" s="11"/>
      <c r="L4" s="11"/>
      <c r="M4" s="11"/>
      <c r="N4" s="11"/>
      <c r="O4" s="11"/>
      <c r="P4" s="11"/>
      <c r="Q4" s="33"/>
      <c r="R4" s="11"/>
      <c r="S4" s="11"/>
      <c r="T4" s="11"/>
      <c r="U4" s="11"/>
      <c r="V4" s="11"/>
      <c r="W4" s="11"/>
      <c r="X4" s="11"/>
    </row>
    <row r="5" ht="15.75" customHeight="1">
      <c r="A5" s="22"/>
      <c r="B5" s="23">
        <v>0.1587</v>
      </c>
      <c r="C5" s="11" t="s">
        <v>127</v>
      </c>
      <c r="D5" s="24" t="s">
        <v>128</v>
      </c>
      <c r="E5" s="34">
        <f>ROUND(F5,3)</f>
        <v>1.96</v>
      </c>
      <c r="F5" s="35">
        <f>NORMSINV(J5)</f>
        <v>1.959963986</v>
      </c>
      <c r="G5" s="11"/>
      <c r="H5" s="11"/>
      <c r="I5" s="25" t="s">
        <v>129</v>
      </c>
      <c r="J5" s="36">
        <f>1-J4</f>
        <v>0.975</v>
      </c>
      <c r="K5" s="11"/>
      <c r="L5" s="11" t="s">
        <v>130</v>
      </c>
      <c r="M5" s="11"/>
      <c r="N5" s="11"/>
      <c r="O5" s="11"/>
      <c r="P5" s="11"/>
      <c r="Q5" s="11"/>
      <c r="R5" s="11"/>
      <c r="S5" s="11"/>
      <c r="T5" s="11"/>
      <c r="U5" s="11"/>
      <c r="V5" s="11"/>
      <c r="W5" s="11"/>
      <c r="X5" s="11"/>
    </row>
    <row r="6" ht="15.75" customHeight="1">
      <c r="A6" s="22"/>
      <c r="B6" s="23">
        <v>0.6382</v>
      </c>
      <c r="C6" s="11"/>
      <c r="D6" s="11"/>
      <c r="E6" s="11"/>
      <c r="F6" s="11"/>
      <c r="G6" s="11"/>
      <c r="H6" s="11"/>
      <c r="I6" s="11"/>
      <c r="J6" s="11"/>
      <c r="K6" s="11"/>
      <c r="L6" s="11"/>
      <c r="M6" s="11"/>
      <c r="N6" s="11"/>
      <c r="O6" s="11"/>
      <c r="P6" s="11"/>
      <c r="Q6" s="11"/>
      <c r="R6" s="11"/>
      <c r="S6" s="11"/>
      <c r="T6" s="11"/>
      <c r="U6" s="11"/>
      <c r="V6" s="11"/>
      <c r="W6" s="11"/>
      <c r="X6" s="11"/>
    </row>
    <row r="7" ht="15.75" customHeight="1">
      <c r="A7" s="22"/>
      <c r="B7" s="23">
        <v>0.7165</v>
      </c>
      <c r="C7" s="11"/>
      <c r="D7" s="29" t="s">
        <v>131</v>
      </c>
      <c r="E7" s="37">
        <f>(1/2)-(E5*(1/(SQRT(12*E3))))</f>
        <v>0.4434196736</v>
      </c>
      <c r="F7" s="11"/>
      <c r="G7" s="11"/>
      <c r="H7" s="11"/>
      <c r="I7" s="11"/>
      <c r="J7" s="11"/>
      <c r="K7" s="11"/>
      <c r="L7" s="11"/>
      <c r="M7" s="11"/>
      <c r="N7" s="11"/>
      <c r="O7" s="11"/>
      <c r="P7" s="11"/>
      <c r="Q7" s="11"/>
      <c r="R7" s="11"/>
      <c r="S7" s="11"/>
      <c r="T7" s="11"/>
      <c r="U7" s="11"/>
      <c r="V7" s="11"/>
      <c r="W7" s="11"/>
      <c r="X7" s="11"/>
    </row>
    <row r="8" ht="15.75" customHeight="1">
      <c r="A8" s="22"/>
      <c r="B8" s="23">
        <v>0.4851</v>
      </c>
      <c r="C8" s="11"/>
      <c r="D8" s="11"/>
      <c r="E8" s="11"/>
      <c r="F8" s="11"/>
      <c r="G8" s="11"/>
      <c r="H8" s="11"/>
      <c r="I8" s="11"/>
      <c r="J8" s="11"/>
      <c r="K8" s="11"/>
      <c r="L8" s="11"/>
      <c r="M8" s="15"/>
      <c r="N8" s="11"/>
      <c r="O8" s="11"/>
      <c r="P8" s="11"/>
      <c r="Q8" s="11"/>
      <c r="R8" s="11"/>
      <c r="S8" s="11"/>
      <c r="T8" s="11"/>
      <c r="U8" s="11"/>
      <c r="V8" s="11"/>
      <c r="W8" s="11"/>
      <c r="X8" s="11"/>
    </row>
    <row r="9" ht="15.75" customHeight="1">
      <c r="A9" s="22"/>
      <c r="B9" s="23">
        <v>0.3478</v>
      </c>
      <c r="C9" s="11"/>
      <c r="D9" s="29" t="s">
        <v>132</v>
      </c>
      <c r="E9" s="37">
        <f>(1/2)+(E5*(1/(SQRT(12*E3))))</f>
        <v>0.5565803264</v>
      </c>
      <c r="F9" s="11"/>
      <c r="G9" s="11"/>
      <c r="H9" s="11"/>
      <c r="I9" s="11"/>
      <c r="K9" s="11"/>
      <c r="L9" s="11"/>
      <c r="M9" s="11"/>
      <c r="N9" s="11"/>
      <c r="O9" s="11"/>
      <c r="P9" s="11"/>
      <c r="Q9" s="11"/>
      <c r="R9" s="15"/>
      <c r="S9" s="11"/>
      <c r="T9" s="15"/>
      <c r="U9" s="11"/>
      <c r="V9" s="15"/>
      <c r="W9" s="11"/>
      <c r="X9" s="11"/>
    </row>
    <row r="10" ht="15.75" customHeight="1">
      <c r="A10" s="22"/>
      <c r="B10" s="23">
        <v>0.7396</v>
      </c>
      <c r="C10" s="11"/>
      <c r="D10" s="11"/>
      <c r="E10" s="11"/>
      <c r="F10" s="11"/>
      <c r="G10" s="11"/>
      <c r="H10" s="11"/>
      <c r="I10" s="11"/>
      <c r="J10" s="11"/>
      <c r="K10" s="11"/>
      <c r="L10" s="11"/>
      <c r="M10" s="15"/>
      <c r="N10" s="11"/>
      <c r="O10" s="11"/>
      <c r="P10" s="11"/>
      <c r="Q10" s="11"/>
      <c r="R10" s="11"/>
      <c r="S10" s="11"/>
      <c r="T10" s="11"/>
      <c r="U10" s="11"/>
      <c r="V10" s="11"/>
      <c r="W10" s="11"/>
      <c r="X10" s="11"/>
    </row>
    <row r="11" ht="15.75" customHeight="1">
      <c r="A11" s="22"/>
      <c r="B11" s="23">
        <v>0.5969</v>
      </c>
      <c r="C11" s="11"/>
      <c r="D11" s="11"/>
      <c r="E11" s="11"/>
      <c r="F11" s="11"/>
      <c r="G11" s="11" t="s">
        <v>133</v>
      </c>
      <c r="H11" s="11"/>
      <c r="I11" s="11"/>
      <c r="J11" s="11"/>
      <c r="K11" s="11"/>
      <c r="L11" s="11"/>
      <c r="M11" s="11"/>
      <c r="N11" s="11"/>
      <c r="O11" s="11"/>
      <c r="P11" s="11"/>
      <c r="Q11" s="11"/>
      <c r="R11" s="11"/>
      <c r="S11" s="11"/>
      <c r="T11" s="11"/>
      <c r="U11" s="11"/>
      <c r="V11" s="11"/>
      <c r="W11" s="11"/>
      <c r="X11" s="11"/>
    </row>
    <row r="12" ht="15.75" customHeight="1">
      <c r="A12" s="22"/>
      <c r="B12" s="23">
        <v>0.7287</v>
      </c>
      <c r="C12" s="11"/>
      <c r="D12" s="11"/>
      <c r="E12" s="11"/>
      <c r="F12" s="11"/>
      <c r="G12" s="11"/>
      <c r="H12" s="37">
        <f>E7</f>
        <v>0.4434196736</v>
      </c>
      <c r="I12" s="27" t="s">
        <v>134</v>
      </c>
      <c r="J12" s="34">
        <f>ROUND(E4,3)</f>
        <v>0.492</v>
      </c>
      <c r="K12" s="27" t="s">
        <v>134</v>
      </c>
      <c r="L12" s="37">
        <f>E9</f>
        <v>0.5565803264</v>
      </c>
      <c r="M12" s="11"/>
      <c r="N12" s="11"/>
      <c r="O12" s="11"/>
      <c r="P12" s="11"/>
      <c r="Q12" s="11"/>
      <c r="R12" s="11"/>
      <c r="S12" s="11"/>
      <c r="T12" s="11"/>
      <c r="U12" s="11"/>
      <c r="V12" s="11"/>
      <c r="W12" s="11"/>
      <c r="X12" s="11"/>
    </row>
    <row r="13" ht="15.75" customHeight="1">
      <c r="A13" s="22"/>
      <c r="B13" s="23">
        <v>0.0723</v>
      </c>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22"/>
      <c r="B14" s="23">
        <v>0.4797</v>
      </c>
      <c r="C14" s="11"/>
      <c r="D14" s="11" t="s">
        <v>135</v>
      </c>
      <c r="V14" s="11"/>
      <c r="W14" s="11"/>
      <c r="X14" s="11"/>
    </row>
    <row r="15" ht="15.75" customHeight="1">
      <c r="A15" s="22"/>
      <c r="B15" s="23">
        <v>0.0879</v>
      </c>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22"/>
      <c r="B16" s="23">
        <v>0.2306</v>
      </c>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22"/>
      <c r="B17" s="23">
        <v>0.0987</v>
      </c>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22"/>
      <c r="B18" s="23">
        <v>0.7504</v>
      </c>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22"/>
      <c r="B19" s="23">
        <v>0.1167</v>
      </c>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22"/>
      <c r="B20" s="23">
        <v>0.6167</v>
      </c>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22"/>
      <c r="B21" s="23">
        <v>0.6817</v>
      </c>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22"/>
      <c r="B22" s="23">
        <v>0.8102</v>
      </c>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5"/>
      <c r="B23" s="23">
        <v>0.9949</v>
      </c>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5"/>
      <c r="B24" s="23">
        <v>0.8845</v>
      </c>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5"/>
      <c r="B25" s="23">
        <v>0.5709</v>
      </c>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5"/>
      <c r="B26" s="23">
        <v>0.4774</v>
      </c>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5"/>
      <c r="B27" s="23">
        <v>0.9772</v>
      </c>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5"/>
      <c r="B28" s="23">
        <v>0.0326</v>
      </c>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5"/>
      <c r="B29" s="23">
        <v>0.569</v>
      </c>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5"/>
      <c r="B30" s="23">
        <v>0.3859</v>
      </c>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5"/>
      <c r="B31" s="23">
        <v>0.5733</v>
      </c>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5"/>
      <c r="B32" s="23">
        <v>0.5929</v>
      </c>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5"/>
      <c r="B33" s="23">
        <v>0.5362</v>
      </c>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5"/>
      <c r="B34" s="23">
        <v>0.8073</v>
      </c>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5"/>
      <c r="B35" s="23">
        <v>0.8553</v>
      </c>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5"/>
      <c r="B36" s="23">
        <v>0.1655</v>
      </c>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5"/>
      <c r="B37" s="23">
        <v>0.9655</v>
      </c>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5"/>
      <c r="B38" s="23">
        <v>0.4695</v>
      </c>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5"/>
      <c r="B39" s="23">
        <v>0.597</v>
      </c>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5"/>
      <c r="B40" s="23">
        <v>0.7336</v>
      </c>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5"/>
      <c r="B41" s="23">
        <v>0.3081</v>
      </c>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5"/>
      <c r="B42" s="23">
        <v>0.8288</v>
      </c>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5"/>
      <c r="B43" s="23">
        <v>0.8901</v>
      </c>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5"/>
      <c r="B44" s="23">
        <v>0.8405</v>
      </c>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5"/>
      <c r="B45" s="23">
        <v>0.4532</v>
      </c>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5"/>
      <c r="B46" s="23">
        <v>0.8125</v>
      </c>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5"/>
      <c r="B47" s="23">
        <v>0.1056</v>
      </c>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5"/>
      <c r="B48" s="23">
        <v>0.0825</v>
      </c>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5"/>
      <c r="B49" s="23">
        <v>0.9707</v>
      </c>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5"/>
      <c r="B50" s="23">
        <v>0.7197</v>
      </c>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5"/>
      <c r="B51" s="23">
        <v>0.6391</v>
      </c>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5"/>
      <c r="B52" s="23">
        <v>0.7598</v>
      </c>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5"/>
      <c r="B53" s="23">
        <v>0.5691</v>
      </c>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5"/>
      <c r="B54" s="23">
        <v>0.3907</v>
      </c>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5"/>
      <c r="B55" s="23">
        <v>0.8043</v>
      </c>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5"/>
      <c r="B56" s="23">
        <v>0.7109</v>
      </c>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5"/>
      <c r="B57" s="23">
        <v>0.2156</v>
      </c>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5"/>
      <c r="B58" s="23">
        <v>0.3768</v>
      </c>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5"/>
      <c r="B59" s="23">
        <v>0.1353</v>
      </c>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5"/>
      <c r="B60" s="23">
        <v>0.5119</v>
      </c>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5"/>
      <c r="B61" s="23">
        <v>0.6377</v>
      </c>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5"/>
      <c r="B62" s="23">
        <v>0.6925</v>
      </c>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5"/>
      <c r="B63" s="23">
        <v>0.33</v>
      </c>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5"/>
      <c r="B64" s="23">
        <v>0.8829</v>
      </c>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5"/>
      <c r="B65" s="23">
        <v>0.4939</v>
      </c>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5"/>
      <c r="B66" s="23">
        <v>0.7714</v>
      </c>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5"/>
      <c r="B67" s="23">
        <v>0.1274</v>
      </c>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5"/>
      <c r="B68" s="23">
        <v>0.1317</v>
      </c>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5"/>
      <c r="B69" s="23">
        <v>0.3387</v>
      </c>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5"/>
      <c r="B70" s="23">
        <v>0.3016</v>
      </c>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5"/>
      <c r="B71" s="23">
        <v>0.516</v>
      </c>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5"/>
      <c r="B72" s="23">
        <v>0.835</v>
      </c>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5"/>
      <c r="B73" s="23">
        <v>0.1885</v>
      </c>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5"/>
      <c r="B74" s="23">
        <v>0.0725</v>
      </c>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5"/>
      <c r="B75" s="23">
        <v>0.4894</v>
      </c>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5"/>
      <c r="B76" s="23">
        <v>0.5548</v>
      </c>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5"/>
      <c r="B77" s="23">
        <v>0.7025</v>
      </c>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5"/>
      <c r="B78" s="23">
        <v>0.8113</v>
      </c>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5"/>
      <c r="B79" s="23">
        <v>0.0478</v>
      </c>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5"/>
      <c r="B80" s="23">
        <v>0.3006</v>
      </c>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5"/>
      <c r="B81" s="23">
        <v>0.4678</v>
      </c>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5"/>
      <c r="B82" s="23">
        <v>0.5152</v>
      </c>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5"/>
      <c r="B83" s="23">
        <v>0.7965</v>
      </c>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5"/>
      <c r="B84" s="23">
        <v>0.3355</v>
      </c>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5"/>
      <c r="B85" s="23">
        <v>0.1476</v>
      </c>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5"/>
      <c r="B86" s="23">
        <v>0.1039</v>
      </c>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5"/>
      <c r="B87" s="23">
        <v>7.0E-4</v>
      </c>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5"/>
      <c r="B88" s="23">
        <v>0.0336</v>
      </c>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5"/>
      <c r="B89" s="23">
        <v>0.6171</v>
      </c>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5"/>
      <c r="B90" s="23">
        <v>0.701</v>
      </c>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5"/>
      <c r="B91" s="23">
        <v>0.7391</v>
      </c>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5"/>
      <c r="B92" s="23">
        <v>0.5728</v>
      </c>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5"/>
      <c r="B93" s="23">
        <v>0.5688</v>
      </c>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5"/>
      <c r="B94" s="23">
        <v>0.3763</v>
      </c>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5"/>
      <c r="B95" s="23">
        <v>0.1113</v>
      </c>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5"/>
      <c r="B96" s="23">
        <v>0.3568</v>
      </c>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5"/>
      <c r="B97" s="23">
        <v>0.1727</v>
      </c>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5"/>
      <c r="B98" s="23">
        <v>0.312</v>
      </c>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5"/>
      <c r="B99" s="23">
        <v>0.0165</v>
      </c>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5"/>
      <c r="B100" s="23">
        <v>0.7941</v>
      </c>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5"/>
      <c r="B101" s="23">
        <v>0.22</v>
      </c>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5"/>
      <c r="B102" s="23">
        <v>0.5886</v>
      </c>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X1"/>
    <mergeCell ref="M3:N3"/>
    <mergeCell ref="D14:U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9" t="s">
        <v>136</v>
      </c>
      <c r="B1" s="20"/>
      <c r="C1" s="20"/>
      <c r="D1" s="20"/>
      <c r="E1" s="20"/>
      <c r="F1" s="20"/>
      <c r="G1" s="20"/>
      <c r="H1" s="20"/>
      <c r="I1" s="20"/>
      <c r="J1" s="20"/>
      <c r="K1" s="20"/>
      <c r="L1" s="20"/>
      <c r="M1" s="20"/>
      <c r="N1" s="20"/>
      <c r="O1" s="20"/>
      <c r="P1" s="20"/>
      <c r="Q1" s="20"/>
      <c r="R1" s="20"/>
      <c r="S1" s="20"/>
      <c r="T1" s="20"/>
      <c r="U1" s="20"/>
      <c r="V1" s="20"/>
      <c r="W1" s="20"/>
      <c r="X1" s="20"/>
      <c r="Y1" s="17"/>
    </row>
    <row r="2" ht="15.75" customHeight="1">
      <c r="A2" s="11"/>
      <c r="B2" s="38" t="s">
        <v>137</v>
      </c>
      <c r="C2" s="38" t="s">
        <v>138</v>
      </c>
      <c r="D2" s="38" t="s">
        <v>139</v>
      </c>
      <c r="E2" s="11"/>
      <c r="F2" s="11"/>
      <c r="G2" s="11"/>
      <c r="H2" s="11"/>
      <c r="I2" s="11"/>
      <c r="J2" s="11"/>
      <c r="K2" s="11"/>
      <c r="L2" s="11"/>
      <c r="M2" s="11"/>
      <c r="N2" s="11"/>
      <c r="O2" s="11"/>
      <c r="P2" s="11"/>
      <c r="Q2" s="11"/>
      <c r="R2" s="11"/>
      <c r="S2" s="11"/>
      <c r="T2" s="11"/>
      <c r="U2" s="11"/>
      <c r="V2" s="11"/>
      <c r="W2" s="11"/>
      <c r="X2" s="11"/>
      <c r="Y2" s="11"/>
    </row>
    <row r="3" ht="15.75" customHeight="1">
      <c r="A3" s="11"/>
      <c r="B3" s="22">
        <v>0.442</v>
      </c>
      <c r="C3" s="22">
        <f t="shared" ref="C3:C102" si="1">B3-$H$4</f>
        <v>-0.049596</v>
      </c>
      <c r="D3" s="10">
        <f t="shared" ref="D3:D102" si="2">POWER(C3,2)</f>
        <v>0.002459763216</v>
      </c>
      <c r="E3" s="11"/>
      <c r="F3" s="11"/>
      <c r="G3" s="24" t="s">
        <v>121</v>
      </c>
      <c r="H3" s="39">
        <v>100.0</v>
      </c>
      <c r="I3" s="11"/>
      <c r="J3" s="40" t="s">
        <v>123</v>
      </c>
      <c r="K3" s="11"/>
      <c r="L3" s="11"/>
      <c r="M3" s="11"/>
      <c r="N3" s="11"/>
      <c r="O3" s="11"/>
      <c r="P3" s="11"/>
      <c r="Q3" s="11"/>
      <c r="R3" s="11"/>
      <c r="S3" s="11"/>
      <c r="T3" s="11"/>
      <c r="U3" s="11"/>
      <c r="V3" s="11"/>
      <c r="W3" s="11"/>
      <c r="X3" s="11"/>
      <c r="Y3" s="11"/>
    </row>
    <row r="4" ht="15.75" customHeight="1">
      <c r="A4" s="15"/>
      <c r="B4" s="22">
        <v>0.2734</v>
      </c>
      <c r="C4" s="31">
        <f t="shared" si="1"/>
        <v>-0.218196</v>
      </c>
      <c r="D4" s="10">
        <f t="shared" si="2"/>
        <v>0.04760949442</v>
      </c>
      <c r="E4" s="11"/>
      <c r="F4" s="11"/>
      <c r="G4" s="24" t="s">
        <v>125</v>
      </c>
      <c r="H4" s="34">
        <f>SUM(B3:B102)/100</f>
        <v>0.491596</v>
      </c>
      <c r="I4" s="11"/>
      <c r="J4" s="15"/>
      <c r="K4" s="15"/>
      <c r="L4" s="15"/>
      <c r="M4" s="15"/>
      <c r="N4" s="15"/>
      <c r="O4" s="15"/>
      <c r="P4" s="11"/>
      <c r="Q4" s="11"/>
      <c r="R4" s="11"/>
      <c r="S4" s="11"/>
      <c r="T4" s="11"/>
      <c r="U4" s="11"/>
      <c r="V4" s="11"/>
      <c r="W4" s="11"/>
      <c r="X4" s="11"/>
      <c r="Y4" s="11"/>
    </row>
    <row r="5" ht="15.75" customHeight="1">
      <c r="A5" s="11"/>
      <c r="B5" s="22">
        <v>0.1587</v>
      </c>
      <c r="C5" s="22">
        <f t="shared" si="1"/>
        <v>-0.332896</v>
      </c>
      <c r="D5" s="10">
        <f t="shared" si="2"/>
        <v>0.1108197468</v>
      </c>
      <c r="E5" s="11"/>
      <c r="F5" s="11"/>
      <c r="G5" s="11"/>
      <c r="H5" s="11"/>
      <c r="I5" s="11"/>
      <c r="J5" s="11"/>
      <c r="K5" s="11"/>
      <c r="L5" s="11"/>
      <c r="M5" s="11"/>
      <c r="N5" s="11"/>
      <c r="O5" s="11"/>
      <c r="P5" s="11"/>
      <c r="Q5" s="11"/>
      <c r="R5" s="11"/>
      <c r="S5" s="11"/>
      <c r="T5" s="11"/>
      <c r="U5" s="11"/>
      <c r="V5" s="11"/>
      <c r="W5" s="11"/>
      <c r="X5" s="11"/>
      <c r="Y5" s="11"/>
    </row>
    <row r="6" ht="15.75" customHeight="1">
      <c r="A6" s="11"/>
      <c r="B6" s="22">
        <v>0.6382</v>
      </c>
      <c r="C6" s="31">
        <f t="shared" si="1"/>
        <v>0.146604</v>
      </c>
      <c r="D6" s="10">
        <f t="shared" si="2"/>
        <v>0.02149273282</v>
      </c>
      <c r="E6" s="11"/>
      <c r="F6" s="11"/>
      <c r="G6" s="11"/>
      <c r="H6" s="11"/>
      <c r="I6" s="11"/>
      <c r="J6" s="11"/>
      <c r="K6" s="11"/>
      <c r="L6" s="11"/>
      <c r="M6" s="11"/>
      <c r="N6" s="11"/>
      <c r="O6" s="11"/>
      <c r="P6" s="11"/>
      <c r="Q6" s="11"/>
      <c r="R6" s="11"/>
      <c r="S6" s="11"/>
      <c r="T6" s="11"/>
      <c r="U6" s="11"/>
      <c r="V6" s="11"/>
      <c r="W6" s="11"/>
      <c r="X6" s="11"/>
      <c r="Y6" s="11"/>
    </row>
    <row r="7" ht="15.75" customHeight="1">
      <c r="A7" s="11"/>
      <c r="B7" s="22">
        <v>0.7165</v>
      </c>
      <c r="C7" s="22">
        <f t="shared" si="1"/>
        <v>0.224904</v>
      </c>
      <c r="D7" s="10">
        <f t="shared" si="2"/>
        <v>0.05058180922</v>
      </c>
      <c r="E7" s="11"/>
      <c r="F7" s="11"/>
      <c r="G7" s="11"/>
      <c r="H7" s="11"/>
      <c r="I7" s="11"/>
      <c r="J7" s="11"/>
      <c r="K7" s="11"/>
      <c r="L7" s="11"/>
      <c r="M7" s="11"/>
      <c r="N7" s="11"/>
      <c r="O7" s="11"/>
      <c r="P7" s="11"/>
      <c r="Q7" s="11"/>
      <c r="R7" s="11"/>
      <c r="S7" s="11"/>
      <c r="T7" s="11"/>
      <c r="U7" s="11"/>
      <c r="V7" s="11"/>
      <c r="W7" s="11"/>
      <c r="X7" s="11"/>
      <c r="Y7" s="11"/>
    </row>
    <row r="8" ht="15.75" customHeight="1">
      <c r="A8" s="11"/>
      <c r="B8" s="22">
        <v>0.4851</v>
      </c>
      <c r="C8" s="31">
        <f t="shared" si="1"/>
        <v>-0.006496</v>
      </c>
      <c r="D8" s="10">
        <f t="shared" si="2"/>
        <v>0.000042198016</v>
      </c>
      <c r="E8" s="11"/>
      <c r="F8" s="11"/>
      <c r="G8" s="25" t="s">
        <v>140</v>
      </c>
      <c r="H8" s="37">
        <f>D103/($H$3-1)</f>
        <v>0.07606065796</v>
      </c>
      <c r="I8" s="31">
        <f>_xlfn.VAR.S(B3:B102)</f>
        <v>0.07606065796</v>
      </c>
      <c r="J8" s="11"/>
      <c r="K8" s="41" t="s">
        <v>141</v>
      </c>
      <c r="L8" s="42">
        <f>H3-1</f>
        <v>99</v>
      </c>
      <c r="M8" s="11"/>
      <c r="N8" s="11"/>
      <c r="O8" s="24" t="s">
        <v>142</v>
      </c>
      <c r="P8" s="43">
        <f>M9/2</f>
        <v>0.025</v>
      </c>
      <c r="Q8" s="11"/>
      <c r="R8" s="11"/>
      <c r="S8" s="11"/>
      <c r="T8" s="11"/>
      <c r="U8" s="11"/>
      <c r="V8" s="11"/>
      <c r="W8" s="11"/>
      <c r="X8" s="11"/>
      <c r="Y8" s="11"/>
    </row>
    <row r="9" ht="15.75" customHeight="1">
      <c r="A9" s="11"/>
      <c r="B9" s="22">
        <v>0.3478</v>
      </c>
      <c r="C9" s="22">
        <f t="shared" si="1"/>
        <v>-0.143796</v>
      </c>
      <c r="D9" s="10">
        <f t="shared" si="2"/>
        <v>0.02067728962</v>
      </c>
      <c r="E9" s="11"/>
      <c r="F9" s="11"/>
      <c r="G9" s="40" t="s">
        <v>143</v>
      </c>
      <c r="H9" s="44">
        <f>1-H8</f>
        <v>0.923939342</v>
      </c>
      <c r="I9" s="15"/>
      <c r="J9" s="11"/>
      <c r="K9" s="24" t="s">
        <v>144</v>
      </c>
      <c r="L9" s="45">
        <v>0.05</v>
      </c>
      <c r="M9" s="46">
        <v>0.05</v>
      </c>
      <c r="N9" s="11"/>
      <c r="O9" s="24" t="s">
        <v>145</v>
      </c>
      <c r="P9" s="47">
        <f>1-P8</f>
        <v>0.975</v>
      </c>
      <c r="Q9" s="11"/>
      <c r="R9" s="11"/>
      <c r="S9" s="11"/>
      <c r="T9" s="11"/>
      <c r="U9" s="11"/>
      <c r="V9" s="11"/>
      <c r="W9" s="11"/>
      <c r="X9" s="11"/>
      <c r="Y9" s="11"/>
    </row>
    <row r="10" ht="15.75" customHeight="1">
      <c r="A10" s="11"/>
      <c r="B10" s="22">
        <v>0.7396</v>
      </c>
      <c r="C10" s="31">
        <f t="shared" si="1"/>
        <v>0.248004</v>
      </c>
      <c r="D10" s="10">
        <f t="shared" si="2"/>
        <v>0.06150598402</v>
      </c>
      <c r="E10" s="11"/>
      <c r="F10" s="11" t="s">
        <v>146</v>
      </c>
      <c r="G10" s="40" t="s">
        <v>147</v>
      </c>
      <c r="H10" s="43">
        <f t="shared" ref="H10:H11" si="3">ROUND(I10,2)</f>
        <v>73.36</v>
      </c>
      <c r="I10" s="35">
        <f>_xlfn.CHISQ.INV.RT(P9,L8)</f>
        <v>73.36108019</v>
      </c>
      <c r="J10" s="11"/>
      <c r="K10" s="48" t="s">
        <v>148</v>
      </c>
      <c r="L10" s="11"/>
      <c r="M10" s="11"/>
      <c r="N10" s="11"/>
      <c r="O10" s="11"/>
      <c r="P10" s="11"/>
      <c r="Q10" s="11"/>
      <c r="R10" s="11"/>
      <c r="S10" s="11"/>
      <c r="T10" s="11"/>
      <c r="U10" s="11"/>
      <c r="V10" s="11"/>
      <c r="W10" s="11"/>
      <c r="X10" s="11"/>
      <c r="Y10" s="11"/>
    </row>
    <row r="11" ht="15.75" customHeight="1">
      <c r="A11" s="11"/>
      <c r="B11" s="22">
        <v>0.5969</v>
      </c>
      <c r="C11" s="22">
        <f t="shared" si="1"/>
        <v>0.105304</v>
      </c>
      <c r="D11" s="10">
        <f t="shared" si="2"/>
        <v>0.01108893242</v>
      </c>
      <c r="E11" s="11"/>
      <c r="F11" s="11" t="s">
        <v>149</v>
      </c>
      <c r="G11" s="40" t="s">
        <v>150</v>
      </c>
      <c r="H11" s="43">
        <f t="shared" si="3"/>
        <v>128.42</v>
      </c>
      <c r="I11" s="35">
        <f>_xlfn.CHISQ.INV.RT(P8,L8)</f>
        <v>128.4219886</v>
      </c>
      <c r="J11" s="11"/>
      <c r="K11" s="48" t="s">
        <v>151</v>
      </c>
      <c r="L11" s="11"/>
      <c r="M11" s="11"/>
      <c r="N11" s="11"/>
      <c r="O11" s="11"/>
      <c r="P11" s="11"/>
      <c r="Q11" s="11"/>
      <c r="R11" s="11"/>
      <c r="S11" s="11"/>
      <c r="T11" s="11"/>
      <c r="U11" s="11"/>
      <c r="V11" s="11"/>
      <c r="W11" s="11"/>
      <c r="X11" s="11"/>
      <c r="Y11" s="11"/>
    </row>
    <row r="12" ht="15.75" customHeight="1">
      <c r="A12" s="11"/>
      <c r="B12" s="22">
        <v>0.7287</v>
      </c>
      <c r="C12" s="31">
        <f t="shared" si="1"/>
        <v>0.237104</v>
      </c>
      <c r="D12" s="10">
        <f t="shared" si="2"/>
        <v>0.05621830682</v>
      </c>
      <c r="E12" s="11"/>
      <c r="F12" s="11"/>
      <c r="G12" s="11"/>
      <c r="H12" s="11"/>
      <c r="I12" s="11"/>
      <c r="J12" s="11"/>
      <c r="K12" s="11"/>
      <c r="L12" s="11"/>
      <c r="M12" s="11"/>
      <c r="N12" s="11"/>
      <c r="O12" s="11"/>
      <c r="P12" s="11"/>
      <c r="Q12" s="11"/>
      <c r="R12" s="11"/>
      <c r="S12" s="11"/>
      <c r="T12" s="11"/>
      <c r="U12" s="11"/>
      <c r="V12" s="11"/>
      <c r="W12" s="11"/>
      <c r="X12" s="11"/>
      <c r="Y12" s="11"/>
    </row>
    <row r="13" ht="15.75" customHeight="1">
      <c r="A13" s="11"/>
      <c r="B13" s="22">
        <v>0.0723</v>
      </c>
      <c r="C13" s="22">
        <f t="shared" si="1"/>
        <v>-0.419296</v>
      </c>
      <c r="D13" s="10">
        <f t="shared" si="2"/>
        <v>0.1758091356</v>
      </c>
      <c r="E13" s="11"/>
      <c r="F13" s="11"/>
      <c r="G13" s="40" t="s">
        <v>152</v>
      </c>
      <c r="H13" s="37">
        <f t="shared" ref="H13:H14" si="4">H10/(12*($H$3-1))</f>
        <v>0.06175084175</v>
      </c>
      <c r="I13" s="11"/>
      <c r="J13" s="11"/>
      <c r="K13" s="11"/>
      <c r="L13" s="11"/>
      <c r="M13" s="11"/>
      <c r="N13" s="11"/>
      <c r="O13" s="11"/>
      <c r="P13" s="11"/>
      <c r="Q13" s="11"/>
      <c r="R13" s="11"/>
      <c r="S13" s="11"/>
      <c r="T13" s="11"/>
      <c r="U13" s="11"/>
      <c r="V13" s="11"/>
      <c r="W13" s="11"/>
      <c r="X13" s="11"/>
      <c r="Y13" s="11"/>
    </row>
    <row r="14" ht="15.75" customHeight="1">
      <c r="A14" s="11"/>
      <c r="B14" s="22">
        <v>0.4797</v>
      </c>
      <c r="C14" s="31">
        <f t="shared" si="1"/>
        <v>-0.011896</v>
      </c>
      <c r="D14" s="10">
        <f t="shared" si="2"/>
        <v>0.000141514816</v>
      </c>
      <c r="E14" s="11"/>
      <c r="F14" s="11"/>
      <c r="G14" s="40" t="s">
        <v>153</v>
      </c>
      <c r="H14" s="37">
        <f t="shared" si="4"/>
        <v>0.1080976431</v>
      </c>
      <c r="I14" s="11"/>
      <c r="J14" s="11"/>
      <c r="K14" s="11"/>
      <c r="L14" s="11"/>
      <c r="M14" s="11"/>
      <c r="N14" s="11"/>
      <c r="O14" s="11"/>
      <c r="P14" s="11"/>
      <c r="Q14" s="11"/>
      <c r="R14" s="11"/>
      <c r="S14" s="11"/>
      <c r="T14" s="11"/>
      <c r="U14" s="11"/>
      <c r="V14" s="11"/>
      <c r="W14" s="11"/>
      <c r="X14" s="11"/>
      <c r="Y14" s="11"/>
    </row>
    <row r="15" ht="15.75" customHeight="1">
      <c r="A15" s="11"/>
      <c r="B15" s="22">
        <v>0.0879</v>
      </c>
      <c r="C15" s="22">
        <f t="shared" si="1"/>
        <v>-0.403696</v>
      </c>
      <c r="D15" s="10">
        <f t="shared" si="2"/>
        <v>0.1629704604</v>
      </c>
      <c r="E15" s="11"/>
      <c r="F15" s="11"/>
      <c r="G15" s="11"/>
      <c r="H15" s="11"/>
      <c r="I15" s="11"/>
      <c r="J15" s="11"/>
      <c r="K15" s="11"/>
      <c r="L15" s="11"/>
      <c r="M15" s="11"/>
      <c r="N15" s="11"/>
      <c r="O15" s="11"/>
      <c r="P15" s="11"/>
      <c r="Q15" s="11"/>
      <c r="R15" s="11"/>
      <c r="S15" s="11"/>
      <c r="T15" s="11"/>
      <c r="U15" s="11"/>
      <c r="V15" s="11"/>
      <c r="W15" s="11"/>
      <c r="X15" s="11"/>
      <c r="Y15" s="11"/>
    </row>
    <row r="16" ht="15.75" customHeight="1">
      <c r="A16" s="11"/>
      <c r="B16" s="22">
        <v>0.2306</v>
      </c>
      <c r="C16" s="31">
        <f t="shared" si="1"/>
        <v>-0.260996</v>
      </c>
      <c r="D16" s="10">
        <f t="shared" si="2"/>
        <v>0.06811891202</v>
      </c>
      <c r="E16" s="11"/>
      <c r="F16" s="11"/>
      <c r="G16" s="49" t="s">
        <v>154</v>
      </c>
      <c r="Y16" s="11"/>
    </row>
    <row r="17" ht="15.75" customHeight="1">
      <c r="A17" s="11"/>
      <c r="B17" s="22">
        <v>0.0987</v>
      </c>
      <c r="C17" s="22">
        <f t="shared" si="1"/>
        <v>-0.392896</v>
      </c>
      <c r="D17" s="10">
        <f t="shared" si="2"/>
        <v>0.1543672668</v>
      </c>
      <c r="E17" s="11"/>
      <c r="F17" s="11"/>
      <c r="G17" s="11"/>
      <c r="H17" s="11"/>
      <c r="I17" s="11"/>
      <c r="J17" s="11"/>
      <c r="K17" s="11"/>
      <c r="L17" s="11"/>
      <c r="M17" s="11"/>
      <c r="N17" s="11"/>
      <c r="O17" s="11"/>
      <c r="P17" s="11"/>
      <c r="Q17" s="11"/>
      <c r="R17" s="11"/>
      <c r="S17" s="11"/>
      <c r="T17" s="11"/>
      <c r="U17" s="11"/>
      <c r="V17" s="11"/>
      <c r="W17" s="11"/>
      <c r="X17" s="11"/>
      <c r="Y17" s="11"/>
    </row>
    <row r="18" ht="15.75" customHeight="1">
      <c r="A18" s="11"/>
      <c r="B18" s="22">
        <v>0.7504</v>
      </c>
      <c r="C18" s="31">
        <f t="shared" si="1"/>
        <v>0.258804</v>
      </c>
      <c r="D18" s="10">
        <f t="shared" si="2"/>
        <v>0.06697951042</v>
      </c>
      <c r="E18" s="11"/>
      <c r="F18" s="11"/>
      <c r="G18" s="11"/>
      <c r="H18" s="11"/>
      <c r="I18" s="11"/>
      <c r="J18" s="11"/>
      <c r="K18" s="11"/>
      <c r="L18" s="11"/>
      <c r="M18" s="11"/>
      <c r="N18" s="11"/>
      <c r="O18" s="11"/>
      <c r="P18" s="11"/>
      <c r="Q18" s="11"/>
      <c r="R18" s="11"/>
      <c r="S18" s="11"/>
      <c r="T18" s="11"/>
      <c r="U18" s="11"/>
      <c r="V18" s="11"/>
      <c r="W18" s="11"/>
      <c r="X18" s="11"/>
      <c r="Y18" s="11"/>
    </row>
    <row r="19" ht="15.75" customHeight="1">
      <c r="A19" s="11"/>
      <c r="B19" s="22">
        <v>0.1167</v>
      </c>
      <c r="C19" s="22">
        <f t="shared" si="1"/>
        <v>-0.374896</v>
      </c>
      <c r="D19" s="10">
        <f t="shared" si="2"/>
        <v>0.1405470108</v>
      </c>
      <c r="E19" s="11"/>
      <c r="F19" s="11"/>
      <c r="G19" s="11"/>
      <c r="H19" s="11"/>
      <c r="I19" s="11"/>
      <c r="J19" s="37">
        <f>H13</f>
        <v>0.06175084175</v>
      </c>
      <c r="K19" s="11" t="s">
        <v>134</v>
      </c>
      <c r="L19" s="22">
        <f>H8</f>
        <v>0.07606065796</v>
      </c>
      <c r="M19" s="11" t="s">
        <v>134</v>
      </c>
      <c r="N19" s="37">
        <f>H14</f>
        <v>0.1080976431</v>
      </c>
      <c r="O19" s="11"/>
      <c r="P19" s="11"/>
      <c r="Q19" s="11"/>
      <c r="R19" s="11"/>
      <c r="S19" s="11"/>
      <c r="T19" s="11"/>
      <c r="U19" s="11"/>
      <c r="V19" s="11"/>
      <c r="W19" s="11"/>
      <c r="X19" s="11"/>
      <c r="Y19" s="11"/>
    </row>
    <row r="20" ht="15.75" customHeight="1">
      <c r="A20" s="11"/>
      <c r="B20" s="22">
        <v>0.6167</v>
      </c>
      <c r="C20" s="31">
        <f t="shared" si="1"/>
        <v>0.125104</v>
      </c>
      <c r="D20" s="10">
        <f t="shared" si="2"/>
        <v>0.01565101082</v>
      </c>
      <c r="E20" s="11"/>
      <c r="F20" s="11"/>
      <c r="G20" s="11"/>
      <c r="H20" s="11"/>
      <c r="I20" s="11"/>
      <c r="J20" s="11"/>
      <c r="K20" s="11"/>
      <c r="L20" s="11"/>
      <c r="M20" s="11"/>
      <c r="N20" s="11"/>
      <c r="O20" s="11"/>
      <c r="P20" s="11"/>
      <c r="Q20" s="11"/>
      <c r="R20" s="11"/>
      <c r="S20" s="11"/>
      <c r="T20" s="11"/>
      <c r="U20" s="11"/>
      <c r="V20" s="11"/>
      <c r="W20" s="11"/>
      <c r="X20" s="11"/>
      <c r="Y20" s="11"/>
    </row>
    <row r="21" ht="15.75" customHeight="1">
      <c r="A21" s="11"/>
      <c r="B21" s="22">
        <v>0.6817</v>
      </c>
      <c r="C21" s="22">
        <f t="shared" si="1"/>
        <v>0.190104</v>
      </c>
      <c r="D21" s="10">
        <f t="shared" si="2"/>
        <v>0.03613953082</v>
      </c>
      <c r="E21" s="11"/>
      <c r="F21" s="11"/>
      <c r="G21" s="11"/>
      <c r="H21" s="11"/>
      <c r="I21" s="11"/>
      <c r="J21" s="11"/>
      <c r="K21" s="11"/>
      <c r="L21" s="11"/>
      <c r="M21" s="11"/>
      <c r="N21" s="11"/>
      <c r="O21" s="11"/>
      <c r="P21" s="11"/>
      <c r="Q21" s="11"/>
      <c r="R21" s="11"/>
      <c r="S21" s="11"/>
      <c r="T21" s="11"/>
      <c r="U21" s="11"/>
      <c r="V21" s="11"/>
      <c r="W21" s="11"/>
      <c r="X21" s="11"/>
      <c r="Y21" s="11"/>
    </row>
    <row r="22" ht="15.75" customHeight="1">
      <c r="A22" s="11"/>
      <c r="B22" s="22">
        <v>0.8102</v>
      </c>
      <c r="C22" s="31">
        <f t="shared" si="1"/>
        <v>0.318604</v>
      </c>
      <c r="D22" s="10">
        <f t="shared" si="2"/>
        <v>0.1015085088</v>
      </c>
      <c r="E22" s="11"/>
      <c r="F22" s="11"/>
      <c r="G22" s="11"/>
      <c r="H22" s="11"/>
      <c r="I22" s="11"/>
      <c r="J22" s="11"/>
      <c r="K22" s="11"/>
      <c r="L22" s="11"/>
      <c r="M22" s="11"/>
      <c r="N22" s="11"/>
      <c r="O22" s="11"/>
      <c r="P22" s="11"/>
      <c r="Q22" s="11"/>
      <c r="R22" s="11"/>
      <c r="S22" s="11"/>
      <c r="T22" s="11"/>
      <c r="U22" s="11"/>
      <c r="V22" s="11"/>
      <c r="W22" s="11"/>
      <c r="X22" s="11"/>
      <c r="Y22" s="11"/>
    </row>
    <row r="23" ht="15.75" customHeight="1">
      <c r="A23" s="11"/>
      <c r="B23" s="22">
        <v>0.9949</v>
      </c>
      <c r="C23" s="22">
        <f t="shared" si="1"/>
        <v>0.503304</v>
      </c>
      <c r="D23" s="10">
        <f t="shared" si="2"/>
        <v>0.2533149164</v>
      </c>
      <c r="E23" s="11"/>
      <c r="F23" s="11"/>
      <c r="G23" s="11"/>
      <c r="H23" s="11"/>
      <c r="I23" s="11"/>
      <c r="J23" s="11"/>
      <c r="K23" s="11"/>
      <c r="L23" s="11"/>
      <c r="M23" s="11"/>
      <c r="N23" s="11"/>
      <c r="O23" s="11"/>
      <c r="P23" s="11"/>
      <c r="Q23" s="11"/>
      <c r="R23" s="11"/>
      <c r="S23" s="11"/>
      <c r="T23" s="11"/>
      <c r="U23" s="11"/>
      <c r="V23" s="11"/>
      <c r="W23" s="11"/>
      <c r="X23" s="11"/>
      <c r="Y23" s="11"/>
    </row>
    <row r="24" ht="15.75" customHeight="1">
      <c r="A24" s="11"/>
      <c r="B24" s="22">
        <v>0.8845</v>
      </c>
      <c r="C24" s="31">
        <f t="shared" si="1"/>
        <v>0.392904</v>
      </c>
      <c r="D24" s="10">
        <f t="shared" si="2"/>
        <v>0.1543735532</v>
      </c>
      <c r="E24" s="11"/>
      <c r="F24" s="11"/>
      <c r="G24" s="11"/>
      <c r="H24" s="11"/>
      <c r="I24" s="11"/>
      <c r="J24" s="11"/>
      <c r="K24" s="11"/>
      <c r="L24" s="11"/>
      <c r="M24" s="11"/>
      <c r="N24" s="11"/>
      <c r="O24" s="11"/>
      <c r="P24" s="11"/>
      <c r="Q24" s="11"/>
      <c r="R24" s="11"/>
      <c r="S24" s="11"/>
      <c r="T24" s="11"/>
      <c r="U24" s="11"/>
      <c r="V24" s="11"/>
      <c r="W24" s="11"/>
      <c r="X24" s="11"/>
      <c r="Y24" s="11"/>
    </row>
    <row r="25" ht="15.75" customHeight="1">
      <c r="A25" s="11"/>
      <c r="B25" s="22">
        <v>0.5709</v>
      </c>
      <c r="C25" s="22">
        <f t="shared" si="1"/>
        <v>0.079304</v>
      </c>
      <c r="D25" s="10">
        <f t="shared" si="2"/>
        <v>0.006289124416</v>
      </c>
      <c r="E25" s="11"/>
      <c r="F25" s="11"/>
      <c r="G25" s="11"/>
      <c r="H25" s="11"/>
      <c r="I25" s="11"/>
      <c r="J25" s="11"/>
      <c r="K25" s="11"/>
      <c r="L25" s="11"/>
      <c r="M25" s="11"/>
      <c r="N25" s="11"/>
      <c r="O25" s="11"/>
      <c r="P25" s="11"/>
      <c r="Q25" s="11"/>
      <c r="R25" s="11"/>
      <c r="S25" s="11"/>
      <c r="T25" s="11"/>
      <c r="U25" s="11"/>
      <c r="V25" s="11"/>
      <c r="W25" s="11"/>
      <c r="X25" s="11"/>
      <c r="Y25" s="11"/>
    </row>
    <row r="26" ht="15.75" customHeight="1">
      <c r="A26" s="11"/>
      <c r="B26" s="22">
        <v>0.4774</v>
      </c>
      <c r="C26" s="31">
        <f t="shared" si="1"/>
        <v>-0.014196</v>
      </c>
      <c r="D26" s="10">
        <f t="shared" si="2"/>
        <v>0.000201526416</v>
      </c>
      <c r="E26" s="11"/>
      <c r="F26" s="11"/>
      <c r="G26" s="11"/>
      <c r="H26" s="11"/>
      <c r="I26" s="11"/>
      <c r="J26" s="11"/>
      <c r="K26" s="11"/>
      <c r="L26" s="11"/>
      <c r="M26" s="11"/>
      <c r="N26" s="11"/>
      <c r="O26" s="11"/>
      <c r="P26" s="11"/>
      <c r="Q26" s="11"/>
      <c r="R26" s="11"/>
      <c r="S26" s="11"/>
      <c r="T26" s="11"/>
      <c r="U26" s="11"/>
      <c r="V26" s="11"/>
      <c r="W26" s="11"/>
      <c r="X26" s="11"/>
      <c r="Y26" s="11"/>
    </row>
    <row r="27" ht="15.75" customHeight="1">
      <c r="A27" s="11"/>
      <c r="B27" s="22">
        <v>0.9772</v>
      </c>
      <c r="C27" s="22">
        <f t="shared" si="1"/>
        <v>0.485604</v>
      </c>
      <c r="D27" s="10">
        <f t="shared" si="2"/>
        <v>0.2358112448</v>
      </c>
      <c r="E27" s="11"/>
      <c r="F27" s="11"/>
      <c r="G27" s="11"/>
      <c r="H27" s="11"/>
      <c r="I27" s="11"/>
      <c r="J27" s="11"/>
      <c r="K27" s="11"/>
      <c r="L27" s="11"/>
      <c r="M27" s="11"/>
      <c r="N27" s="11"/>
      <c r="O27" s="11"/>
      <c r="P27" s="11"/>
      <c r="Q27" s="11"/>
      <c r="R27" s="11"/>
      <c r="S27" s="11"/>
      <c r="T27" s="11"/>
      <c r="U27" s="11"/>
      <c r="V27" s="11"/>
      <c r="W27" s="11"/>
      <c r="X27" s="11"/>
      <c r="Y27" s="11"/>
    </row>
    <row r="28" ht="15.75" customHeight="1">
      <c r="A28" s="11"/>
      <c r="B28" s="22">
        <v>0.0326</v>
      </c>
      <c r="C28" s="31">
        <f t="shared" si="1"/>
        <v>-0.458996</v>
      </c>
      <c r="D28" s="10">
        <f t="shared" si="2"/>
        <v>0.210677328</v>
      </c>
      <c r="E28" s="11"/>
      <c r="F28" s="11"/>
      <c r="G28" s="11"/>
      <c r="H28" s="11"/>
      <c r="I28" s="11"/>
      <c r="J28" s="11"/>
      <c r="K28" s="11"/>
      <c r="L28" s="11"/>
      <c r="M28" s="11"/>
      <c r="N28" s="11"/>
      <c r="O28" s="11"/>
      <c r="P28" s="11"/>
      <c r="Q28" s="11"/>
      <c r="R28" s="11"/>
      <c r="S28" s="11"/>
      <c r="T28" s="11"/>
      <c r="U28" s="11"/>
      <c r="V28" s="11"/>
      <c r="W28" s="11"/>
      <c r="X28" s="11"/>
      <c r="Y28" s="11"/>
    </row>
    <row r="29" ht="15.75" customHeight="1">
      <c r="A29" s="11"/>
      <c r="B29" s="22">
        <v>0.569</v>
      </c>
      <c r="C29" s="22">
        <f t="shared" si="1"/>
        <v>0.077404</v>
      </c>
      <c r="D29" s="10">
        <f t="shared" si="2"/>
        <v>0.005991379216</v>
      </c>
      <c r="E29" s="11"/>
      <c r="F29" s="11"/>
      <c r="G29" s="11"/>
      <c r="H29" s="11"/>
      <c r="I29" s="11"/>
      <c r="J29" s="11"/>
      <c r="K29" s="11"/>
      <c r="L29" s="11"/>
      <c r="M29" s="11"/>
      <c r="N29" s="11"/>
      <c r="O29" s="11"/>
      <c r="P29" s="11"/>
      <c r="Q29" s="11"/>
      <c r="R29" s="11"/>
      <c r="S29" s="11"/>
      <c r="T29" s="11"/>
      <c r="U29" s="11"/>
      <c r="V29" s="11"/>
      <c r="W29" s="11"/>
      <c r="X29" s="11"/>
      <c r="Y29" s="11"/>
    </row>
    <row r="30" ht="15.75" customHeight="1">
      <c r="A30" s="11"/>
      <c r="B30" s="22">
        <v>0.3859</v>
      </c>
      <c r="C30" s="31">
        <f t="shared" si="1"/>
        <v>-0.105696</v>
      </c>
      <c r="D30" s="10">
        <f t="shared" si="2"/>
        <v>0.01117164442</v>
      </c>
      <c r="E30" s="11"/>
      <c r="F30" s="11"/>
      <c r="G30" s="11"/>
      <c r="H30" s="11"/>
      <c r="I30" s="11"/>
      <c r="J30" s="11"/>
      <c r="K30" s="11"/>
      <c r="L30" s="11"/>
      <c r="M30" s="11"/>
      <c r="N30" s="11"/>
      <c r="O30" s="11"/>
      <c r="P30" s="11"/>
      <c r="Q30" s="11"/>
      <c r="R30" s="11"/>
      <c r="S30" s="11"/>
      <c r="T30" s="11"/>
      <c r="U30" s="11"/>
      <c r="V30" s="11"/>
      <c r="W30" s="11"/>
      <c r="X30" s="11"/>
      <c r="Y30" s="11"/>
    </row>
    <row r="31" ht="15.75" customHeight="1">
      <c r="A31" s="11"/>
      <c r="B31" s="22">
        <v>0.5733</v>
      </c>
      <c r="C31" s="22">
        <f t="shared" si="1"/>
        <v>0.081704</v>
      </c>
      <c r="D31" s="10">
        <f t="shared" si="2"/>
        <v>0.006675543616</v>
      </c>
      <c r="E31" s="11"/>
      <c r="F31" s="11"/>
      <c r="G31" s="11"/>
      <c r="H31" s="11"/>
      <c r="I31" s="11"/>
      <c r="J31" s="11"/>
      <c r="K31" s="11"/>
      <c r="L31" s="11"/>
      <c r="M31" s="11"/>
      <c r="N31" s="11"/>
      <c r="O31" s="11"/>
      <c r="P31" s="11"/>
      <c r="Q31" s="11"/>
      <c r="R31" s="11"/>
      <c r="S31" s="11"/>
      <c r="T31" s="11"/>
      <c r="U31" s="11"/>
      <c r="V31" s="11"/>
      <c r="W31" s="11"/>
      <c r="X31" s="11"/>
      <c r="Y31" s="11"/>
    </row>
    <row r="32" ht="15.75" customHeight="1">
      <c r="A32" s="11"/>
      <c r="B32" s="22">
        <v>0.5929</v>
      </c>
      <c r="C32" s="31">
        <f t="shared" si="1"/>
        <v>0.101304</v>
      </c>
      <c r="D32" s="10">
        <f t="shared" si="2"/>
        <v>0.01026250042</v>
      </c>
      <c r="E32" s="11"/>
      <c r="F32" s="11"/>
      <c r="G32" s="11"/>
      <c r="H32" s="11"/>
      <c r="I32" s="11"/>
      <c r="J32" s="11"/>
      <c r="K32" s="11"/>
      <c r="L32" s="11"/>
      <c r="M32" s="11"/>
      <c r="N32" s="11"/>
      <c r="O32" s="11"/>
      <c r="P32" s="11"/>
      <c r="Q32" s="11"/>
      <c r="R32" s="11"/>
      <c r="S32" s="11"/>
      <c r="T32" s="11"/>
      <c r="U32" s="11"/>
      <c r="V32" s="11"/>
      <c r="W32" s="11"/>
      <c r="X32" s="11"/>
      <c r="Y32" s="11"/>
    </row>
    <row r="33" ht="15.75" customHeight="1">
      <c r="A33" s="11"/>
      <c r="B33" s="22">
        <v>0.5362</v>
      </c>
      <c r="C33" s="22">
        <f t="shared" si="1"/>
        <v>0.044604</v>
      </c>
      <c r="D33" s="10">
        <f t="shared" si="2"/>
        <v>0.001989516816</v>
      </c>
      <c r="E33" s="11"/>
      <c r="F33" s="11"/>
      <c r="G33" s="11"/>
      <c r="H33" s="11"/>
      <c r="I33" s="11"/>
      <c r="J33" s="11"/>
      <c r="K33" s="11"/>
      <c r="L33" s="11"/>
      <c r="M33" s="11"/>
      <c r="N33" s="11"/>
      <c r="O33" s="11"/>
      <c r="P33" s="11"/>
      <c r="Q33" s="11"/>
      <c r="R33" s="11"/>
      <c r="S33" s="11"/>
      <c r="T33" s="11"/>
      <c r="U33" s="11"/>
      <c r="V33" s="11"/>
      <c r="W33" s="11"/>
      <c r="X33" s="11"/>
      <c r="Y33" s="11"/>
    </row>
    <row r="34" ht="15.75" customHeight="1">
      <c r="A34" s="11"/>
      <c r="B34" s="22">
        <v>0.8073</v>
      </c>
      <c r="C34" s="31">
        <f t="shared" si="1"/>
        <v>0.315704</v>
      </c>
      <c r="D34" s="10">
        <f t="shared" si="2"/>
        <v>0.09966901562</v>
      </c>
      <c r="E34" s="11"/>
      <c r="F34" s="11"/>
      <c r="G34" s="11"/>
      <c r="H34" s="11"/>
      <c r="I34" s="11"/>
      <c r="J34" s="11"/>
      <c r="K34" s="11"/>
      <c r="L34" s="11"/>
      <c r="M34" s="11"/>
      <c r="N34" s="11"/>
      <c r="O34" s="11"/>
      <c r="P34" s="11"/>
      <c r="Q34" s="11"/>
      <c r="R34" s="11"/>
      <c r="S34" s="11"/>
      <c r="T34" s="11"/>
      <c r="U34" s="11"/>
      <c r="V34" s="11"/>
      <c r="W34" s="11"/>
      <c r="X34" s="11"/>
      <c r="Y34" s="11"/>
    </row>
    <row r="35" ht="15.75" customHeight="1">
      <c r="A35" s="11"/>
      <c r="B35" s="22">
        <v>0.8553</v>
      </c>
      <c r="C35" s="22">
        <f t="shared" si="1"/>
        <v>0.363704</v>
      </c>
      <c r="D35" s="10">
        <f t="shared" si="2"/>
        <v>0.1322805996</v>
      </c>
      <c r="E35" s="11"/>
      <c r="F35" s="11"/>
      <c r="G35" s="11"/>
      <c r="H35" s="11"/>
      <c r="I35" s="11"/>
      <c r="J35" s="11"/>
      <c r="K35" s="11"/>
      <c r="L35" s="11"/>
      <c r="M35" s="11"/>
      <c r="N35" s="11"/>
      <c r="O35" s="11"/>
      <c r="P35" s="11"/>
      <c r="Q35" s="11"/>
      <c r="R35" s="11"/>
      <c r="S35" s="11"/>
      <c r="T35" s="11"/>
      <c r="U35" s="11"/>
      <c r="V35" s="11"/>
      <c r="W35" s="11"/>
      <c r="X35" s="11"/>
      <c r="Y35" s="11"/>
    </row>
    <row r="36" ht="15.75" customHeight="1">
      <c r="A36" s="11"/>
      <c r="B36" s="22">
        <v>0.1655</v>
      </c>
      <c r="C36" s="31">
        <f t="shared" si="1"/>
        <v>-0.326096</v>
      </c>
      <c r="D36" s="10">
        <f t="shared" si="2"/>
        <v>0.1063386012</v>
      </c>
      <c r="E36" s="11"/>
      <c r="F36" s="11"/>
      <c r="G36" s="11"/>
      <c r="H36" s="11"/>
      <c r="I36" s="11"/>
      <c r="J36" s="11"/>
      <c r="K36" s="11"/>
      <c r="L36" s="11"/>
      <c r="M36" s="11"/>
      <c r="N36" s="11"/>
      <c r="O36" s="11"/>
      <c r="P36" s="11"/>
      <c r="Q36" s="11"/>
      <c r="R36" s="11"/>
      <c r="S36" s="11"/>
      <c r="T36" s="11"/>
      <c r="U36" s="11"/>
      <c r="V36" s="11"/>
      <c r="W36" s="11"/>
      <c r="X36" s="11"/>
      <c r="Y36" s="11"/>
    </row>
    <row r="37" ht="15.75" customHeight="1">
      <c r="A37" s="11"/>
      <c r="B37" s="22">
        <v>0.9655</v>
      </c>
      <c r="C37" s="22">
        <f t="shared" si="1"/>
        <v>0.473904</v>
      </c>
      <c r="D37" s="10">
        <f t="shared" si="2"/>
        <v>0.2245850012</v>
      </c>
      <c r="E37" s="11"/>
      <c r="F37" s="11"/>
      <c r="G37" s="11"/>
      <c r="H37" s="11"/>
      <c r="I37" s="11"/>
      <c r="J37" s="11"/>
      <c r="K37" s="11"/>
      <c r="L37" s="11"/>
      <c r="M37" s="11"/>
      <c r="N37" s="11"/>
      <c r="O37" s="11"/>
      <c r="P37" s="11"/>
      <c r="Q37" s="11"/>
      <c r="R37" s="11"/>
      <c r="S37" s="11"/>
      <c r="T37" s="11"/>
      <c r="U37" s="11"/>
      <c r="V37" s="11"/>
      <c r="W37" s="11"/>
      <c r="X37" s="11"/>
      <c r="Y37" s="11"/>
    </row>
    <row r="38" ht="15.75" customHeight="1">
      <c r="A38" s="11"/>
      <c r="B38" s="22">
        <v>0.4695</v>
      </c>
      <c r="C38" s="31">
        <f t="shared" si="1"/>
        <v>-0.022096</v>
      </c>
      <c r="D38" s="10">
        <f t="shared" si="2"/>
        <v>0.000488233216</v>
      </c>
      <c r="E38" s="11"/>
      <c r="F38" s="11"/>
      <c r="G38" s="11"/>
      <c r="H38" s="11"/>
      <c r="I38" s="11"/>
      <c r="J38" s="11"/>
      <c r="K38" s="11"/>
      <c r="L38" s="11"/>
      <c r="M38" s="11"/>
      <c r="N38" s="11"/>
      <c r="O38" s="11"/>
      <c r="P38" s="11"/>
      <c r="Q38" s="11"/>
      <c r="R38" s="11"/>
      <c r="S38" s="11"/>
      <c r="T38" s="11"/>
      <c r="U38" s="11"/>
      <c r="V38" s="11"/>
      <c r="W38" s="11"/>
      <c r="X38" s="11"/>
      <c r="Y38" s="11"/>
    </row>
    <row r="39" ht="15.75" customHeight="1">
      <c r="A39" s="11"/>
      <c r="B39" s="22">
        <v>0.597</v>
      </c>
      <c r="C39" s="22">
        <f t="shared" si="1"/>
        <v>0.105404</v>
      </c>
      <c r="D39" s="10">
        <f t="shared" si="2"/>
        <v>0.01111000322</v>
      </c>
      <c r="E39" s="11"/>
      <c r="F39" s="11"/>
      <c r="G39" s="11"/>
      <c r="H39" s="11"/>
      <c r="I39" s="11"/>
      <c r="J39" s="11"/>
      <c r="K39" s="11"/>
      <c r="L39" s="11"/>
      <c r="M39" s="11"/>
      <c r="N39" s="11"/>
      <c r="O39" s="11"/>
      <c r="P39" s="11"/>
      <c r="Q39" s="11"/>
      <c r="R39" s="11"/>
      <c r="S39" s="11"/>
      <c r="T39" s="11"/>
      <c r="U39" s="11"/>
      <c r="V39" s="11"/>
      <c r="W39" s="11"/>
      <c r="X39" s="11"/>
      <c r="Y39" s="11"/>
    </row>
    <row r="40" ht="15.75" customHeight="1">
      <c r="A40" s="11"/>
      <c r="B40" s="22">
        <v>0.7336</v>
      </c>
      <c r="C40" s="31">
        <f t="shared" si="1"/>
        <v>0.242004</v>
      </c>
      <c r="D40" s="10">
        <f t="shared" si="2"/>
        <v>0.05856593602</v>
      </c>
      <c r="E40" s="11"/>
      <c r="F40" s="11"/>
      <c r="G40" s="11"/>
      <c r="H40" s="11"/>
      <c r="I40" s="11"/>
      <c r="J40" s="11"/>
      <c r="K40" s="11"/>
      <c r="L40" s="11"/>
      <c r="M40" s="11"/>
      <c r="N40" s="11"/>
      <c r="O40" s="11"/>
      <c r="P40" s="11"/>
      <c r="Q40" s="11"/>
      <c r="R40" s="11"/>
      <c r="S40" s="11"/>
      <c r="T40" s="11"/>
      <c r="U40" s="11"/>
      <c r="V40" s="11"/>
      <c r="W40" s="11"/>
      <c r="X40" s="11"/>
      <c r="Y40" s="11"/>
    </row>
    <row r="41" ht="15.75" customHeight="1">
      <c r="A41" s="11"/>
      <c r="B41" s="22">
        <v>0.3081</v>
      </c>
      <c r="C41" s="22">
        <f t="shared" si="1"/>
        <v>-0.183496</v>
      </c>
      <c r="D41" s="10">
        <f t="shared" si="2"/>
        <v>0.03367078202</v>
      </c>
      <c r="E41" s="11"/>
      <c r="F41" s="11"/>
      <c r="G41" s="11"/>
      <c r="H41" s="11"/>
      <c r="I41" s="11"/>
      <c r="J41" s="11"/>
      <c r="K41" s="11"/>
      <c r="L41" s="11"/>
      <c r="M41" s="11"/>
      <c r="N41" s="11"/>
      <c r="O41" s="11"/>
      <c r="P41" s="11"/>
      <c r="Q41" s="11"/>
      <c r="R41" s="11"/>
      <c r="S41" s="11"/>
      <c r="T41" s="11"/>
      <c r="U41" s="11"/>
      <c r="V41" s="11"/>
      <c r="W41" s="11"/>
      <c r="X41" s="11"/>
      <c r="Y41" s="11"/>
    </row>
    <row r="42" ht="15.75" customHeight="1">
      <c r="A42" s="11"/>
      <c r="B42" s="22">
        <v>0.8288</v>
      </c>
      <c r="C42" s="31">
        <f t="shared" si="1"/>
        <v>0.337204</v>
      </c>
      <c r="D42" s="10">
        <f t="shared" si="2"/>
        <v>0.1137065376</v>
      </c>
      <c r="E42" s="11"/>
      <c r="F42" s="11"/>
      <c r="G42" s="11"/>
      <c r="H42" s="11"/>
      <c r="I42" s="11"/>
      <c r="J42" s="11"/>
      <c r="K42" s="11"/>
      <c r="L42" s="11"/>
      <c r="M42" s="11"/>
      <c r="N42" s="11"/>
      <c r="O42" s="11"/>
      <c r="P42" s="11"/>
      <c r="Q42" s="11"/>
      <c r="R42" s="11"/>
      <c r="S42" s="11"/>
      <c r="T42" s="11"/>
      <c r="U42" s="11"/>
      <c r="V42" s="11"/>
      <c r="W42" s="11"/>
      <c r="X42" s="11"/>
      <c r="Y42" s="11"/>
    </row>
    <row r="43" ht="15.75" customHeight="1">
      <c r="A43" s="11"/>
      <c r="B43" s="22">
        <v>0.8901</v>
      </c>
      <c r="C43" s="22">
        <f t="shared" si="1"/>
        <v>0.398504</v>
      </c>
      <c r="D43" s="10">
        <f t="shared" si="2"/>
        <v>0.158805438</v>
      </c>
      <c r="E43" s="11"/>
      <c r="F43" s="11"/>
      <c r="G43" s="11"/>
      <c r="H43" s="11"/>
      <c r="I43" s="11"/>
      <c r="J43" s="11"/>
      <c r="K43" s="11"/>
      <c r="L43" s="11"/>
      <c r="M43" s="11"/>
      <c r="N43" s="11"/>
      <c r="O43" s="11"/>
      <c r="P43" s="11"/>
      <c r="Q43" s="11"/>
      <c r="R43" s="11"/>
      <c r="S43" s="11"/>
      <c r="T43" s="11"/>
      <c r="U43" s="11"/>
      <c r="V43" s="11"/>
      <c r="W43" s="11"/>
      <c r="X43" s="11"/>
      <c r="Y43" s="11"/>
    </row>
    <row r="44" ht="15.75" customHeight="1">
      <c r="A44" s="11"/>
      <c r="B44" s="22">
        <v>0.8405</v>
      </c>
      <c r="C44" s="31">
        <f t="shared" si="1"/>
        <v>0.348904</v>
      </c>
      <c r="D44" s="10">
        <f t="shared" si="2"/>
        <v>0.1217340012</v>
      </c>
      <c r="E44" s="11"/>
      <c r="F44" s="11"/>
      <c r="G44" s="11"/>
      <c r="H44" s="11"/>
      <c r="I44" s="11"/>
      <c r="J44" s="11"/>
      <c r="K44" s="11"/>
      <c r="L44" s="11"/>
      <c r="M44" s="11"/>
      <c r="N44" s="11"/>
      <c r="O44" s="11"/>
      <c r="P44" s="11"/>
      <c r="Q44" s="11"/>
      <c r="R44" s="11"/>
      <c r="S44" s="11"/>
      <c r="T44" s="11"/>
      <c r="U44" s="11"/>
      <c r="V44" s="11"/>
      <c r="W44" s="11"/>
      <c r="X44" s="11"/>
      <c r="Y44" s="11"/>
    </row>
    <row r="45" ht="15.75" customHeight="1">
      <c r="A45" s="11"/>
      <c r="B45" s="22">
        <v>0.4532</v>
      </c>
      <c r="C45" s="22">
        <f t="shared" si="1"/>
        <v>-0.038396</v>
      </c>
      <c r="D45" s="10">
        <f t="shared" si="2"/>
        <v>0.001474252816</v>
      </c>
      <c r="E45" s="11"/>
      <c r="F45" s="11"/>
      <c r="G45" s="11"/>
      <c r="H45" s="11"/>
      <c r="I45" s="11"/>
      <c r="J45" s="11"/>
      <c r="K45" s="11"/>
      <c r="L45" s="11"/>
      <c r="M45" s="11"/>
      <c r="N45" s="11"/>
      <c r="O45" s="11"/>
      <c r="P45" s="11"/>
      <c r="Q45" s="11"/>
      <c r="R45" s="11"/>
      <c r="S45" s="11"/>
      <c r="T45" s="11"/>
      <c r="U45" s="11"/>
      <c r="V45" s="11"/>
      <c r="W45" s="11"/>
      <c r="X45" s="11"/>
      <c r="Y45" s="11"/>
    </row>
    <row r="46" ht="15.75" customHeight="1">
      <c r="A46" s="11"/>
      <c r="B46" s="22">
        <v>0.8125</v>
      </c>
      <c r="C46" s="31">
        <f t="shared" si="1"/>
        <v>0.320904</v>
      </c>
      <c r="D46" s="10">
        <f t="shared" si="2"/>
        <v>0.1029793772</v>
      </c>
      <c r="E46" s="11"/>
      <c r="F46" s="11"/>
      <c r="G46" s="11"/>
      <c r="H46" s="11"/>
      <c r="I46" s="11"/>
      <c r="J46" s="11"/>
      <c r="K46" s="11"/>
      <c r="L46" s="11"/>
      <c r="M46" s="11"/>
      <c r="N46" s="11"/>
      <c r="O46" s="11"/>
      <c r="P46" s="11"/>
      <c r="Q46" s="11"/>
      <c r="R46" s="11"/>
      <c r="S46" s="11"/>
      <c r="T46" s="11"/>
      <c r="U46" s="11"/>
      <c r="V46" s="11"/>
      <c r="W46" s="11"/>
      <c r="X46" s="11"/>
      <c r="Y46" s="11"/>
    </row>
    <row r="47" ht="15.75" customHeight="1">
      <c r="A47" s="11"/>
      <c r="B47" s="22">
        <v>0.1056</v>
      </c>
      <c r="C47" s="22">
        <f t="shared" si="1"/>
        <v>-0.385996</v>
      </c>
      <c r="D47" s="10">
        <f t="shared" si="2"/>
        <v>0.148992912</v>
      </c>
      <c r="E47" s="11"/>
      <c r="F47" s="11"/>
      <c r="G47" s="11"/>
      <c r="H47" s="11"/>
      <c r="I47" s="11"/>
      <c r="J47" s="11"/>
      <c r="K47" s="11"/>
      <c r="L47" s="11"/>
      <c r="M47" s="11"/>
      <c r="N47" s="11"/>
      <c r="O47" s="11"/>
      <c r="P47" s="11"/>
      <c r="Q47" s="11"/>
      <c r="R47" s="11"/>
      <c r="S47" s="11"/>
      <c r="T47" s="11"/>
      <c r="U47" s="11"/>
      <c r="V47" s="11"/>
      <c r="W47" s="11"/>
      <c r="X47" s="11"/>
      <c r="Y47" s="11"/>
    </row>
    <row r="48" ht="15.75" customHeight="1">
      <c r="A48" s="11"/>
      <c r="B48" s="22">
        <v>0.0825</v>
      </c>
      <c r="C48" s="31">
        <f t="shared" si="1"/>
        <v>-0.409096</v>
      </c>
      <c r="D48" s="10">
        <f t="shared" si="2"/>
        <v>0.1673595372</v>
      </c>
      <c r="E48" s="11"/>
      <c r="F48" s="11"/>
      <c r="G48" s="11"/>
      <c r="H48" s="11"/>
      <c r="I48" s="11"/>
      <c r="J48" s="11"/>
      <c r="K48" s="11"/>
      <c r="L48" s="11"/>
      <c r="M48" s="11"/>
      <c r="N48" s="11"/>
      <c r="O48" s="11"/>
      <c r="P48" s="11"/>
      <c r="Q48" s="11"/>
      <c r="R48" s="11"/>
      <c r="S48" s="11"/>
      <c r="T48" s="11"/>
      <c r="U48" s="11"/>
      <c r="V48" s="11"/>
      <c r="W48" s="11"/>
      <c r="X48" s="11"/>
      <c r="Y48" s="11"/>
    </row>
    <row r="49" ht="15.75" customHeight="1">
      <c r="A49" s="11"/>
      <c r="B49" s="22">
        <v>0.9707</v>
      </c>
      <c r="C49" s="22">
        <f t="shared" si="1"/>
        <v>0.479104</v>
      </c>
      <c r="D49" s="10">
        <f t="shared" si="2"/>
        <v>0.2295406428</v>
      </c>
      <c r="E49" s="11"/>
      <c r="F49" s="11"/>
      <c r="G49" s="11"/>
      <c r="H49" s="11"/>
      <c r="I49" s="11"/>
      <c r="J49" s="11"/>
      <c r="K49" s="11"/>
      <c r="L49" s="11"/>
      <c r="M49" s="11"/>
      <c r="N49" s="11"/>
      <c r="O49" s="11"/>
      <c r="P49" s="11"/>
      <c r="Q49" s="11"/>
      <c r="R49" s="11"/>
      <c r="S49" s="11"/>
      <c r="T49" s="11"/>
      <c r="U49" s="11"/>
      <c r="V49" s="11"/>
      <c r="W49" s="11"/>
      <c r="X49" s="11"/>
      <c r="Y49" s="11"/>
    </row>
    <row r="50" ht="15.75" customHeight="1">
      <c r="A50" s="11"/>
      <c r="B50" s="22">
        <v>0.7197</v>
      </c>
      <c r="C50" s="31">
        <f t="shared" si="1"/>
        <v>0.228104</v>
      </c>
      <c r="D50" s="10">
        <f t="shared" si="2"/>
        <v>0.05203143482</v>
      </c>
      <c r="E50" s="11"/>
      <c r="F50" s="11"/>
      <c r="G50" s="11"/>
      <c r="H50" s="11"/>
      <c r="I50" s="11"/>
      <c r="J50" s="11"/>
      <c r="K50" s="11"/>
      <c r="L50" s="11"/>
      <c r="M50" s="11"/>
      <c r="N50" s="11"/>
      <c r="O50" s="11"/>
      <c r="P50" s="11"/>
      <c r="Q50" s="11"/>
      <c r="R50" s="11"/>
      <c r="S50" s="11"/>
      <c r="T50" s="11"/>
      <c r="U50" s="11"/>
      <c r="V50" s="11"/>
      <c r="W50" s="11"/>
      <c r="X50" s="11"/>
      <c r="Y50" s="11"/>
    </row>
    <row r="51" ht="15.75" customHeight="1">
      <c r="A51" s="11"/>
      <c r="B51" s="22">
        <v>0.6391</v>
      </c>
      <c r="C51" s="22">
        <f t="shared" si="1"/>
        <v>0.147504</v>
      </c>
      <c r="D51" s="10">
        <f t="shared" si="2"/>
        <v>0.02175743002</v>
      </c>
      <c r="E51" s="11"/>
      <c r="F51" s="11"/>
      <c r="G51" s="11"/>
      <c r="H51" s="11"/>
      <c r="I51" s="11"/>
      <c r="J51" s="11"/>
      <c r="K51" s="11"/>
      <c r="L51" s="11"/>
      <c r="M51" s="11"/>
      <c r="N51" s="11"/>
      <c r="O51" s="11"/>
      <c r="P51" s="11"/>
      <c r="Q51" s="11"/>
      <c r="R51" s="11"/>
      <c r="S51" s="11"/>
      <c r="T51" s="11"/>
      <c r="U51" s="11"/>
      <c r="V51" s="11"/>
      <c r="W51" s="11"/>
      <c r="X51" s="11"/>
      <c r="Y51" s="11"/>
    </row>
    <row r="52" ht="15.75" customHeight="1">
      <c r="A52" s="11"/>
      <c r="B52" s="22">
        <v>0.7598</v>
      </c>
      <c r="C52" s="31">
        <f t="shared" si="1"/>
        <v>0.268204</v>
      </c>
      <c r="D52" s="10">
        <f t="shared" si="2"/>
        <v>0.07193338562</v>
      </c>
      <c r="E52" s="11"/>
      <c r="F52" s="11"/>
      <c r="G52" s="11"/>
      <c r="H52" s="11"/>
      <c r="I52" s="11"/>
      <c r="J52" s="11"/>
      <c r="K52" s="11"/>
      <c r="L52" s="11"/>
      <c r="M52" s="11"/>
      <c r="N52" s="11"/>
      <c r="O52" s="11"/>
      <c r="P52" s="11"/>
      <c r="Q52" s="11"/>
      <c r="R52" s="11"/>
      <c r="S52" s="11"/>
      <c r="T52" s="11"/>
      <c r="U52" s="11"/>
      <c r="V52" s="11"/>
      <c r="W52" s="11"/>
      <c r="X52" s="11"/>
      <c r="Y52" s="11"/>
    </row>
    <row r="53" ht="15.75" customHeight="1">
      <c r="A53" s="11"/>
      <c r="B53" s="22">
        <v>0.5691</v>
      </c>
      <c r="C53" s="22">
        <f t="shared" si="1"/>
        <v>0.077504</v>
      </c>
      <c r="D53" s="10">
        <f t="shared" si="2"/>
        <v>0.006006870016</v>
      </c>
      <c r="E53" s="11"/>
      <c r="F53" s="11"/>
      <c r="G53" s="11"/>
      <c r="H53" s="11"/>
      <c r="I53" s="11"/>
      <c r="J53" s="11"/>
      <c r="K53" s="11"/>
      <c r="L53" s="11"/>
      <c r="M53" s="11"/>
      <c r="N53" s="11"/>
      <c r="O53" s="11"/>
      <c r="P53" s="11"/>
      <c r="Q53" s="11"/>
      <c r="R53" s="11"/>
      <c r="S53" s="11"/>
      <c r="T53" s="11"/>
      <c r="U53" s="11"/>
      <c r="V53" s="11"/>
      <c r="W53" s="11"/>
      <c r="X53" s="11"/>
      <c r="Y53" s="11"/>
    </row>
    <row r="54" ht="15.75" customHeight="1">
      <c r="A54" s="11"/>
      <c r="B54" s="22">
        <v>0.3907</v>
      </c>
      <c r="C54" s="31">
        <f t="shared" si="1"/>
        <v>-0.100896</v>
      </c>
      <c r="D54" s="10">
        <f t="shared" si="2"/>
        <v>0.01018000282</v>
      </c>
      <c r="E54" s="11"/>
      <c r="F54" s="11"/>
      <c r="G54" s="11"/>
      <c r="H54" s="11"/>
      <c r="I54" s="11"/>
      <c r="J54" s="11"/>
      <c r="K54" s="11"/>
      <c r="L54" s="11"/>
      <c r="M54" s="11"/>
      <c r="N54" s="11"/>
      <c r="O54" s="11"/>
      <c r="P54" s="11"/>
      <c r="Q54" s="11"/>
      <c r="R54" s="11"/>
      <c r="S54" s="11"/>
      <c r="T54" s="11"/>
      <c r="U54" s="11"/>
      <c r="V54" s="11"/>
      <c r="W54" s="11"/>
      <c r="X54" s="11"/>
      <c r="Y54" s="11"/>
    </row>
    <row r="55" ht="15.75" customHeight="1">
      <c r="A55" s="11"/>
      <c r="B55" s="22">
        <v>0.8043</v>
      </c>
      <c r="C55" s="22">
        <f t="shared" si="1"/>
        <v>0.312704</v>
      </c>
      <c r="D55" s="10">
        <f t="shared" si="2"/>
        <v>0.09778379162</v>
      </c>
      <c r="E55" s="11"/>
      <c r="F55" s="11"/>
      <c r="G55" s="11"/>
      <c r="H55" s="11"/>
      <c r="I55" s="11"/>
      <c r="J55" s="11"/>
      <c r="K55" s="11"/>
      <c r="L55" s="11"/>
      <c r="M55" s="11"/>
      <c r="N55" s="11"/>
      <c r="O55" s="11"/>
      <c r="P55" s="11"/>
      <c r="Q55" s="11"/>
      <c r="R55" s="11"/>
      <c r="S55" s="11"/>
      <c r="T55" s="11"/>
      <c r="U55" s="11"/>
      <c r="V55" s="11"/>
      <c r="W55" s="11"/>
      <c r="X55" s="11"/>
      <c r="Y55" s="11"/>
    </row>
    <row r="56" ht="15.75" customHeight="1">
      <c r="A56" s="11"/>
      <c r="B56" s="22">
        <v>0.7109</v>
      </c>
      <c r="C56" s="31">
        <f t="shared" si="1"/>
        <v>0.219304</v>
      </c>
      <c r="D56" s="10">
        <f t="shared" si="2"/>
        <v>0.04809424442</v>
      </c>
      <c r="E56" s="11"/>
      <c r="F56" s="11"/>
      <c r="G56" s="11"/>
      <c r="H56" s="11"/>
      <c r="I56" s="11"/>
      <c r="J56" s="11"/>
      <c r="K56" s="11"/>
      <c r="L56" s="11"/>
      <c r="M56" s="11"/>
      <c r="N56" s="11"/>
      <c r="O56" s="11"/>
      <c r="P56" s="11"/>
      <c r="Q56" s="11"/>
      <c r="R56" s="11"/>
      <c r="S56" s="11"/>
      <c r="T56" s="11"/>
      <c r="U56" s="11"/>
      <c r="V56" s="11"/>
      <c r="W56" s="11"/>
      <c r="X56" s="11"/>
      <c r="Y56" s="11"/>
    </row>
    <row r="57" ht="15.75" customHeight="1">
      <c r="A57" s="11"/>
      <c r="B57" s="22">
        <v>0.2156</v>
      </c>
      <c r="C57" s="22">
        <f t="shared" si="1"/>
        <v>-0.275996</v>
      </c>
      <c r="D57" s="10">
        <f t="shared" si="2"/>
        <v>0.07617379202</v>
      </c>
      <c r="E57" s="11"/>
      <c r="F57" s="11"/>
      <c r="G57" s="11"/>
      <c r="H57" s="11"/>
      <c r="I57" s="11"/>
      <c r="J57" s="11"/>
      <c r="K57" s="11"/>
      <c r="L57" s="11"/>
      <c r="M57" s="11"/>
      <c r="N57" s="11"/>
      <c r="O57" s="11"/>
      <c r="P57" s="11"/>
      <c r="Q57" s="11"/>
      <c r="R57" s="11"/>
      <c r="S57" s="11"/>
      <c r="T57" s="11"/>
      <c r="U57" s="11"/>
      <c r="V57" s="11"/>
      <c r="W57" s="11"/>
      <c r="X57" s="11"/>
      <c r="Y57" s="11"/>
    </row>
    <row r="58" ht="15.75" customHeight="1">
      <c r="A58" s="11"/>
      <c r="B58" s="22">
        <v>0.3768</v>
      </c>
      <c r="C58" s="31">
        <f t="shared" si="1"/>
        <v>-0.114796</v>
      </c>
      <c r="D58" s="10">
        <f t="shared" si="2"/>
        <v>0.01317812162</v>
      </c>
      <c r="E58" s="11"/>
      <c r="F58" s="11"/>
      <c r="G58" s="11"/>
      <c r="H58" s="11"/>
      <c r="I58" s="11"/>
      <c r="J58" s="11"/>
      <c r="K58" s="11"/>
      <c r="L58" s="11"/>
      <c r="M58" s="11"/>
      <c r="N58" s="11"/>
      <c r="O58" s="11"/>
      <c r="P58" s="11"/>
      <c r="Q58" s="11"/>
      <c r="R58" s="11"/>
      <c r="S58" s="11"/>
      <c r="T58" s="11"/>
      <c r="U58" s="11"/>
      <c r="V58" s="11"/>
      <c r="W58" s="11"/>
      <c r="X58" s="11"/>
      <c r="Y58" s="11"/>
    </row>
    <row r="59" ht="15.75" customHeight="1">
      <c r="A59" s="11"/>
      <c r="B59" s="22">
        <v>0.1353</v>
      </c>
      <c r="C59" s="22">
        <f t="shared" si="1"/>
        <v>-0.356296</v>
      </c>
      <c r="D59" s="10">
        <f t="shared" si="2"/>
        <v>0.1269468396</v>
      </c>
      <c r="E59" s="11"/>
      <c r="F59" s="11"/>
      <c r="G59" s="11"/>
      <c r="H59" s="11"/>
      <c r="I59" s="11"/>
      <c r="J59" s="11"/>
      <c r="K59" s="11"/>
      <c r="L59" s="11"/>
      <c r="M59" s="11"/>
      <c r="N59" s="11"/>
      <c r="O59" s="11"/>
      <c r="P59" s="11"/>
      <c r="Q59" s="11"/>
      <c r="R59" s="11"/>
      <c r="S59" s="11"/>
      <c r="T59" s="11"/>
      <c r="U59" s="11"/>
      <c r="V59" s="11"/>
      <c r="W59" s="11"/>
      <c r="X59" s="11"/>
      <c r="Y59" s="11"/>
    </row>
    <row r="60" ht="15.75" customHeight="1">
      <c r="A60" s="11"/>
      <c r="B60" s="22">
        <v>0.5119</v>
      </c>
      <c r="C60" s="31">
        <f t="shared" si="1"/>
        <v>0.020304</v>
      </c>
      <c r="D60" s="10">
        <f t="shared" si="2"/>
        <v>0.000412252416</v>
      </c>
      <c r="E60" s="11"/>
      <c r="F60" s="11"/>
      <c r="G60" s="11"/>
      <c r="H60" s="11"/>
      <c r="I60" s="11"/>
      <c r="J60" s="11"/>
      <c r="K60" s="11"/>
      <c r="L60" s="11"/>
      <c r="M60" s="11"/>
      <c r="N60" s="11"/>
      <c r="O60" s="11"/>
      <c r="P60" s="11"/>
      <c r="Q60" s="11"/>
      <c r="R60" s="11"/>
      <c r="S60" s="11"/>
      <c r="T60" s="11"/>
      <c r="U60" s="11"/>
      <c r="V60" s="11"/>
      <c r="W60" s="11"/>
      <c r="X60" s="11"/>
      <c r="Y60" s="11"/>
    </row>
    <row r="61" ht="15.75" customHeight="1">
      <c r="A61" s="11"/>
      <c r="B61" s="22">
        <v>0.6377</v>
      </c>
      <c r="C61" s="22">
        <f t="shared" si="1"/>
        <v>0.146104</v>
      </c>
      <c r="D61" s="10">
        <f t="shared" si="2"/>
        <v>0.02134637882</v>
      </c>
      <c r="E61" s="11"/>
      <c r="F61" s="11"/>
      <c r="G61" s="11"/>
      <c r="H61" s="11"/>
      <c r="I61" s="11"/>
      <c r="J61" s="11"/>
      <c r="K61" s="11"/>
      <c r="L61" s="11"/>
      <c r="M61" s="11"/>
      <c r="N61" s="11"/>
      <c r="O61" s="11"/>
      <c r="P61" s="11"/>
      <c r="Q61" s="11"/>
      <c r="R61" s="11"/>
      <c r="S61" s="11"/>
      <c r="T61" s="11"/>
      <c r="U61" s="11"/>
      <c r="V61" s="11"/>
      <c r="W61" s="11"/>
      <c r="X61" s="11"/>
      <c r="Y61" s="11"/>
    </row>
    <row r="62" ht="15.75" customHeight="1">
      <c r="A62" s="11"/>
      <c r="B62" s="22">
        <v>0.6925</v>
      </c>
      <c r="C62" s="31">
        <f t="shared" si="1"/>
        <v>0.200904</v>
      </c>
      <c r="D62" s="10">
        <f t="shared" si="2"/>
        <v>0.04036241722</v>
      </c>
      <c r="E62" s="11"/>
      <c r="F62" s="11"/>
      <c r="G62" s="11"/>
      <c r="H62" s="11"/>
      <c r="I62" s="11"/>
      <c r="J62" s="11"/>
      <c r="K62" s="11"/>
      <c r="L62" s="11"/>
      <c r="M62" s="11"/>
      <c r="N62" s="11"/>
      <c r="O62" s="11"/>
      <c r="P62" s="11"/>
      <c r="Q62" s="11"/>
      <c r="R62" s="11"/>
      <c r="S62" s="11"/>
      <c r="T62" s="11"/>
      <c r="U62" s="11"/>
      <c r="V62" s="11"/>
      <c r="W62" s="11"/>
      <c r="X62" s="11"/>
      <c r="Y62" s="11"/>
    </row>
    <row r="63" ht="15.75" customHeight="1">
      <c r="A63" s="11"/>
      <c r="B63" s="22">
        <v>0.33</v>
      </c>
      <c r="C63" s="22">
        <f t="shared" si="1"/>
        <v>-0.161596</v>
      </c>
      <c r="D63" s="10">
        <f t="shared" si="2"/>
        <v>0.02611326722</v>
      </c>
      <c r="E63" s="11"/>
      <c r="F63" s="11"/>
      <c r="G63" s="11"/>
      <c r="H63" s="11"/>
      <c r="I63" s="11"/>
      <c r="J63" s="11"/>
      <c r="K63" s="11"/>
      <c r="L63" s="11"/>
      <c r="M63" s="11"/>
      <c r="N63" s="11"/>
      <c r="O63" s="11"/>
      <c r="P63" s="11"/>
      <c r="Q63" s="11"/>
      <c r="R63" s="11"/>
      <c r="S63" s="11"/>
      <c r="T63" s="11"/>
      <c r="U63" s="11"/>
      <c r="V63" s="11"/>
      <c r="W63" s="11"/>
      <c r="X63" s="11"/>
      <c r="Y63" s="11"/>
    </row>
    <row r="64" ht="15.75" customHeight="1">
      <c r="A64" s="11"/>
      <c r="B64" s="22">
        <v>0.8829</v>
      </c>
      <c r="C64" s="31">
        <f t="shared" si="1"/>
        <v>0.391304</v>
      </c>
      <c r="D64" s="10">
        <f t="shared" si="2"/>
        <v>0.1531188204</v>
      </c>
      <c r="E64" s="11"/>
      <c r="F64" s="11"/>
      <c r="G64" s="11"/>
      <c r="H64" s="11"/>
      <c r="I64" s="11"/>
      <c r="J64" s="11"/>
      <c r="K64" s="11"/>
      <c r="L64" s="11"/>
      <c r="M64" s="11"/>
      <c r="N64" s="11"/>
      <c r="O64" s="11"/>
      <c r="P64" s="11"/>
      <c r="Q64" s="11"/>
      <c r="R64" s="11"/>
      <c r="S64" s="11"/>
      <c r="T64" s="11"/>
      <c r="U64" s="11"/>
      <c r="V64" s="11"/>
      <c r="W64" s="11"/>
      <c r="X64" s="11"/>
      <c r="Y64" s="11"/>
    </row>
    <row r="65" ht="15.75" customHeight="1">
      <c r="A65" s="11"/>
      <c r="B65" s="22">
        <v>0.4939</v>
      </c>
      <c r="C65" s="22">
        <f t="shared" si="1"/>
        <v>0.002304</v>
      </c>
      <c r="D65" s="10">
        <f t="shared" si="2"/>
        <v>0.000005308416</v>
      </c>
      <c r="E65" s="11"/>
      <c r="F65" s="11"/>
      <c r="G65" s="11"/>
      <c r="H65" s="11"/>
      <c r="I65" s="11"/>
      <c r="J65" s="11"/>
      <c r="K65" s="11"/>
      <c r="L65" s="11"/>
      <c r="M65" s="11"/>
      <c r="N65" s="11"/>
      <c r="O65" s="11"/>
      <c r="P65" s="11"/>
      <c r="Q65" s="11"/>
      <c r="R65" s="11"/>
      <c r="S65" s="11"/>
      <c r="T65" s="11"/>
      <c r="U65" s="11"/>
      <c r="V65" s="11"/>
      <c r="W65" s="11"/>
      <c r="X65" s="11"/>
      <c r="Y65" s="11"/>
    </row>
    <row r="66" ht="15.75" customHeight="1">
      <c r="A66" s="11"/>
      <c r="B66" s="22">
        <v>0.7714</v>
      </c>
      <c r="C66" s="31">
        <f t="shared" si="1"/>
        <v>0.279804</v>
      </c>
      <c r="D66" s="10">
        <f t="shared" si="2"/>
        <v>0.07829027842</v>
      </c>
      <c r="E66" s="11"/>
      <c r="F66" s="11"/>
      <c r="G66" s="11"/>
      <c r="H66" s="11"/>
      <c r="I66" s="11"/>
      <c r="J66" s="11"/>
      <c r="K66" s="11"/>
      <c r="L66" s="11"/>
      <c r="M66" s="11"/>
      <c r="N66" s="11"/>
      <c r="O66" s="11"/>
      <c r="P66" s="11"/>
      <c r="Q66" s="11"/>
      <c r="R66" s="11"/>
      <c r="S66" s="11"/>
      <c r="T66" s="11"/>
      <c r="U66" s="11"/>
      <c r="V66" s="11"/>
      <c r="W66" s="11"/>
      <c r="X66" s="11"/>
      <c r="Y66" s="11"/>
    </row>
    <row r="67" ht="15.75" customHeight="1">
      <c r="A67" s="11"/>
      <c r="B67" s="22">
        <v>0.1274</v>
      </c>
      <c r="C67" s="22">
        <f t="shared" si="1"/>
        <v>-0.364196</v>
      </c>
      <c r="D67" s="10">
        <f t="shared" si="2"/>
        <v>0.1326387264</v>
      </c>
      <c r="E67" s="11"/>
      <c r="F67" s="11"/>
      <c r="G67" s="11"/>
      <c r="H67" s="11"/>
      <c r="I67" s="11"/>
      <c r="J67" s="11"/>
      <c r="K67" s="11"/>
      <c r="L67" s="11"/>
      <c r="M67" s="11"/>
      <c r="N67" s="11"/>
      <c r="O67" s="11"/>
      <c r="P67" s="11"/>
      <c r="Q67" s="11"/>
      <c r="R67" s="11"/>
      <c r="S67" s="11"/>
      <c r="T67" s="11"/>
      <c r="U67" s="11"/>
      <c r="V67" s="11"/>
      <c r="W67" s="11"/>
      <c r="X67" s="11"/>
      <c r="Y67" s="11"/>
    </row>
    <row r="68" ht="15.75" customHeight="1">
      <c r="A68" s="11"/>
      <c r="B68" s="22">
        <v>0.1317</v>
      </c>
      <c r="C68" s="31">
        <f t="shared" si="1"/>
        <v>-0.359896</v>
      </c>
      <c r="D68" s="10">
        <f t="shared" si="2"/>
        <v>0.1295251308</v>
      </c>
      <c r="E68" s="11"/>
      <c r="F68" s="11"/>
      <c r="G68" s="11"/>
      <c r="H68" s="11"/>
      <c r="I68" s="11"/>
      <c r="J68" s="11"/>
      <c r="K68" s="11"/>
      <c r="L68" s="11"/>
      <c r="M68" s="11"/>
      <c r="N68" s="11"/>
      <c r="O68" s="11"/>
      <c r="P68" s="11"/>
      <c r="Q68" s="11"/>
      <c r="R68" s="11"/>
      <c r="S68" s="11"/>
      <c r="T68" s="11"/>
      <c r="U68" s="11"/>
      <c r="V68" s="11"/>
      <c r="W68" s="11"/>
      <c r="X68" s="11"/>
      <c r="Y68" s="11"/>
    </row>
    <row r="69" ht="15.75" customHeight="1">
      <c r="A69" s="11"/>
      <c r="B69" s="22">
        <v>0.3387</v>
      </c>
      <c r="C69" s="22">
        <f t="shared" si="1"/>
        <v>-0.152896</v>
      </c>
      <c r="D69" s="10">
        <f t="shared" si="2"/>
        <v>0.02337718682</v>
      </c>
      <c r="E69" s="11"/>
      <c r="F69" s="11"/>
      <c r="G69" s="11"/>
      <c r="H69" s="11"/>
      <c r="I69" s="11"/>
      <c r="J69" s="11"/>
      <c r="K69" s="11"/>
      <c r="L69" s="11"/>
      <c r="M69" s="11"/>
      <c r="N69" s="11"/>
      <c r="O69" s="11"/>
      <c r="P69" s="11"/>
      <c r="Q69" s="11"/>
      <c r="R69" s="11"/>
      <c r="S69" s="11"/>
      <c r="T69" s="11"/>
      <c r="U69" s="11"/>
      <c r="V69" s="11"/>
      <c r="W69" s="11"/>
      <c r="X69" s="11"/>
      <c r="Y69" s="11"/>
    </row>
    <row r="70" ht="15.75" customHeight="1">
      <c r="A70" s="11"/>
      <c r="B70" s="22">
        <v>0.3016</v>
      </c>
      <c r="C70" s="31">
        <f t="shared" si="1"/>
        <v>-0.189996</v>
      </c>
      <c r="D70" s="10">
        <f t="shared" si="2"/>
        <v>0.03609848002</v>
      </c>
      <c r="E70" s="11"/>
      <c r="F70" s="11"/>
      <c r="G70" s="11"/>
      <c r="H70" s="11"/>
      <c r="I70" s="11"/>
      <c r="J70" s="11"/>
      <c r="K70" s="11"/>
      <c r="L70" s="11"/>
      <c r="M70" s="11"/>
      <c r="N70" s="11"/>
      <c r="O70" s="11"/>
      <c r="P70" s="11"/>
      <c r="Q70" s="11"/>
      <c r="R70" s="11"/>
      <c r="S70" s="11"/>
      <c r="T70" s="11"/>
      <c r="U70" s="11"/>
      <c r="V70" s="11"/>
      <c r="W70" s="11"/>
      <c r="X70" s="11"/>
      <c r="Y70" s="11"/>
    </row>
    <row r="71" ht="15.75" customHeight="1">
      <c r="A71" s="11"/>
      <c r="B71" s="22">
        <v>0.516</v>
      </c>
      <c r="C71" s="22">
        <f t="shared" si="1"/>
        <v>0.024404</v>
      </c>
      <c r="D71" s="10">
        <f t="shared" si="2"/>
        <v>0.000595555216</v>
      </c>
      <c r="E71" s="11"/>
      <c r="F71" s="11"/>
      <c r="G71" s="11"/>
      <c r="H71" s="11"/>
      <c r="I71" s="11"/>
      <c r="J71" s="11"/>
      <c r="K71" s="11"/>
      <c r="L71" s="11"/>
      <c r="M71" s="11"/>
      <c r="N71" s="11"/>
      <c r="O71" s="11"/>
      <c r="P71" s="11"/>
      <c r="Q71" s="11"/>
      <c r="R71" s="11"/>
      <c r="S71" s="11"/>
      <c r="T71" s="11"/>
      <c r="U71" s="11"/>
      <c r="V71" s="11"/>
      <c r="W71" s="11"/>
      <c r="X71" s="11"/>
      <c r="Y71" s="11"/>
    </row>
    <row r="72" ht="15.75" customHeight="1">
      <c r="A72" s="11"/>
      <c r="B72" s="22">
        <v>0.835</v>
      </c>
      <c r="C72" s="31">
        <f t="shared" si="1"/>
        <v>0.343404</v>
      </c>
      <c r="D72" s="10">
        <f t="shared" si="2"/>
        <v>0.1179263072</v>
      </c>
      <c r="E72" s="11"/>
      <c r="F72" s="11"/>
      <c r="G72" s="11"/>
      <c r="H72" s="11"/>
      <c r="I72" s="11"/>
      <c r="J72" s="11"/>
      <c r="K72" s="11"/>
      <c r="L72" s="11"/>
      <c r="M72" s="11"/>
      <c r="N72" s="11"/>
      <c r="O72" s="11"/>
      <c r="P72" s="11"/>
      <c r="Q72" s="11"/>
      <c r="R72" s="11"/>
      <c r="S72" s="11"/>
      <c r="T72" s="11"/>
      <c r="U72" s="11"/>
      <c r="V72" s="11"/>
      <c r="W72" s="11"/>
      <c r="X72" s="11"/>
      <c r="Y72" s="11"/>
    </row>
    <row r="73" ht="15.75" customHeight="1">
      <c r="A73" s="11"/>
      <c r="B73" s="22">
        <v>0.1885</v>
      </c>
      <c r="C73" s="22">
        <f t="shared" si="1"/>
        <v>-0.303096</v>
      </c>
      <c r="D73" s="10">
        <f t="shared" si="2"/>
        <v>0.09186718522</v>
      </c>
      <c r="E73" s="11"/>
      <c r="F73" s="11"/>
      <c r="G73" s="11"/>
      <c r="H73" s="11"/>
      <c r="I73" s="11"/>
      <c r="J73" s="11"/>
      <c r="K73" s="11"/>
      <c r="L73" s="11"/>
      <c r="M73" s="11"/>
      <c r="N73" s="11"/>
      <c r="O73" s="11"/>
      <c r="P73" s="11"/>
      <c r="Q73" s="11"/>
      <c r="R73" s="11"/>
      <c r="S73" s="11"/>
      <c r="T73" s="11"/>
      <c r="U73" s="11"/>
      <c r="V73" s="11"/>
      <c r="W73" s="11"/>
      <c r="X73" s="11"/>
      <c r="Y73" s="11"/>
    </row>
    <row r="74" ht="15.75" customHeight="1">
      <c r="A74" s="11"/>
      <c r="B74" s="22">
        <v>0.0725</v>
      </c>
      <c r="C74" s="31">
        <f t="shared" si="1"/>
        <v>-0.419096</v>
      </c>
      <c r="D74" s="10">
        <f t="shared" si="2"/>
        <v>0.1756414572</v>
      </c>
      <c r="E74" s="11"/>
      <c r="F74" s="11"/>
      <c r="G74" s="11"/>
      <c r="H74" s="11"/>
      <c r="I74" s="11"/>
      <c r="J74" s="11"/>
      <c r="K74" s="11"/>
      <c r="L74" s="11"/>
      <c r="M74" s="11"/>
      <c r="N74" s="11"/>
      <c r="O74" s="11"/>
      <c r="P74" s="11"/>
      <c r="Q74" s="11"/>
      <c r="R74" s="11"/>
      <c r="S74" s="11"/>
      <c r="T74" s="11"/>
      <c r="U74" s="11"/>
      <c r="V74" s="11"/>
      <c r="W74" s="11"/>
      <c r="X74" s="11"/>
      <c r="Y74" s="11"/>
    </row>
    <row r="75" ht="15.75" customHeight="1">
      <c r="A75" s="11"/>
      <c r="B75" s="22">
        <v>0.4894</v>
      </c>
      <c r="C75" s="22">
        <f t="shared" si="1"/>
        <v>-0.002196</v>
      </c>
      <c r="D75" s="10">
        <f t="shared" si="2"/>
        <v>0.000004822416</v>
      </c>
      <c r="E75" s="11"/>
      <c r="F75" s="11"/>
      <c r="G75" s="11"/>
      <c r="H75" s="11"/>
      <c r="I75" s="11"/>
      <c r="J75" s="11"/>
      <c r="K75" s="11"/>
      <c r="L75" s="11"/>
      <c r="M75" s="11"/>
      <c r="N75" s="11"/>
      <c r="O75" s="11"/>
      <c r="P75" s="11"/>
      <c r="Q75" s="11"/>
      <c r="R75" s="11"/>
      <c r="S75" s="11"/>
      <c r="T75" s="11"/>
      <c r="U75" s="11"/>
      <c r="V75" s="11"/>
      <c r="W75" s="11"/>
      <c r="X75" s="11"/>
      <c r="Y75" s="11"/>
    </row>
    <row r="76" ht="15.75" customHeight="1">
      <c r="A76" s="11"/>
      <c r="B76" s="22">
        <v>0.5548</v>
      </c>
      <c r="C76" s="31">
        <f t="shared" si="1"/>
        <v>0.063204</v>
      </c>
      <c r="D76" s="10">
        <f t="shared" si="2"/>
        <v>0.003994745616</v>
      </c>
      <c r="E76" s="11"/>
      <c r="F76" s="11"/>
      <c r="G76" s="11"/>
      <c r="H76" s="11"/>
      <c r="I76" s="11"/>
      <c r="J76" s="11"/>
      <c r="K76" s="11"/>
      <c r="L76" s="11"/>
      <c r="M76" s="11"/>
      <c r="N76" s="11"/>
      <c r="O76" s="11"/>
      <c r="P76" s="11"/>
      <c r="Q76" s="11"/>
      <c r="R76" s="11"/>
      <c r="S76" s="11"/>
      <c r="T76" s="11"/>
      <c r="U76" s="11"/>
      <c r="V76" s="11"/>
      <c r="W76" s="11"/>
      <c r="X76" s="11"/>
      <c r="Y76" s="11"/>
    </row>
    <row r="77" ht="15.75" customHeight="1">
      <c r="A77" s="11"/>
      <c r="B77" s="22">
        <v>0.7025</v>
      </c>
      <c r="C77" s="22">
        <f t="shared" si="1"/>
        <v>0.210904</v>
      </c>
      <c r="D77" s="10">
        <f t="shared" si="2"/>
        <v>0.04448049722</v>
      </c>
      <c r="E77" s="11"/>
      <c r="F77" s="11"/>
      <c r="G77" s="11"/>
      <c r="H77" s="11"/>
      <c r="I77" s="11"/>
      <c r="J77" s="11"/>
      <c r="K77" s="11"/>
      <c r="L77" s="11"/>
      <c r="M77" s="11"/>
      <c r="N77" s="11"/>
      <c r="O77" s="11"/>
      <c r="P77" s="11"/>
      <c r="Q77" s="11"/>
      <c r="R77" s="11"/>
      <c r="S77" s="11"/>
      <c r="T77" s="11"/>
      <c r="U77" s="11"/>
      <c r="V77" s="11"/>
      <c r="W77" s="11"/>
      <c r="X77" s="11"/>
      <c r="Y77" s="11"/>
    </row>
    <row r="78" ht="15.75" customHeight="1">
      <c r="A78" s="11"/>
      <c r="B78" s="22">
        <v>0.8113</v>
      </c>
      <c r="C78" s="31">
        <f t="shared" si="1"/>
        <v>0.319704</v>
      </c>
      <c r="D78" s="10">
        <f t="shared" si="2"/>
        <v>0.1022106476</v>
      </c>
      <c r="E78" s="11"/>
      <c r="F78" s="11"/>
      <c r="G78" s="11"/>
      <c r="H78" s="11"/>
      <c r="I78" s="11"/>
      <c r="J78" s="11"/>
      <c r="K78" s="11"/>
      <c r="L78" s="11"/>
      <c r="M78" s="11"/>
      <c r="N78" s="11"/>
      <c r="O78" s="11"/>
      <c r="P78" s="11"/>
      <c r="Q78" s="11"/>
      <c r="R78" s="11"/>
      <c r="S78" s="11"/>
      <c r="T78" s="11"/>
      <c r="U78" s="11"/>
      <c r="V78" s="11"/>
      <c r="W78" s="11"/>
      <c r="X78" s="11"/>
      <c r="Y78" s="11"/>
    </row>
    <row r="79" ht="15.75" customHeight="1">
      <c r="A79" s="11"/>
      <c r="B79" s="22">
        <v>0.0478</v>
      </c>
      <c r="C79" s="22">
        <f t="shared" si="1"/>
        <v>-0.443796</v>
      </c>
      <c r="D79" s="10">
        <f t="shared" si="2"/>
        <v>0.1969548896</v>
      </c>
      <c r="E79" s="11"/>
      <c r="F79" s="11"/>
      <c r="G79" s="11"/>
      <c r="H79" s="11"/>
      <c r="I79" s="11"/>
      <c r="J79" s="11"/>
      <c r="K79" s="11"/>
      <c r="L79" s="11"/>
      <c r="M79" s="11"/>
      <c r="N79" s="11"/>
      <c r="O79" s="11"/>
      <c r="P79" s="11"/>
      <c r="Q79" s="11"/>
      <c r="R79" s="11"/>
      <c r="S79" s="11"/>
      <c r="T79" s="11"/>
      <c r="U79" s="11"/>
      <c r="V79" s="11"/>
      <c r="W79" s="11"/>
      <c r="X79" s="11"/>
      <c r="Y79" s="11"/>
    </row>
    <row r="80" ht="15.75" customHeight="1">
      <c r="A80" s="11"/>
      <c r="B80" s="22">
        <v>0.3006</v>
      </c>
      <c r="C80" s="31">
        <f t="shared" si="1"/>
        <v>-0.190996</v>
      </c>
      <c r="D80" s="10">
        <f t="shared" si="2"/>
        <v>0.03647947202</v>
      </c>
      <c r="E80" s="11"/>
      <c r="F80" s="11"/>
      <c r="G80" s="11"/>
      <c r="H80" s="11"/>
      <c r="I80" s="11"/>
      <c r="J80" s="11"/>
      <c r="K80" s="11"/>
      <c r="L80" s="11"/>
      <c r="M80" s="11"/>
      <c r="N80" s="11"/>
      <c r="O80" s="11"/>
      <c r="P80" s="11"/>
      <c r="Q80" s="11"/>
      <c r="R80" s="11"/>
      <c r="S80" s="11"/>
      <c r="T80" s="11"/>
      <c r="U80" s="11"/>
      <c r="V80" s="11"/>
      <c r="W80" s="11"/>
      <c r="X80" s="11"/>
      <c r="Y80" s="11"/>
    </row>
    <row r="81" ht="15.75" customHeight="1">
      <c r="A81" s="11"/>
      <c r="B81" s="22">
        <v>0.4678</v>
      </c>
      <c r="C81" s="22">
        <f t="shared" si="1"/>
        <v>-0.023796</v>
      </c>
      <c r="D81" s="10">
        <f t="shared" si="2"/>
        <v>0.000566249616</v>
      </c>
      <c r="E81" s="11"/>
      <c r="F81" s="11"/>
      <c r="G81" s="11"/>
      <c r="H81" s="11"/>
      <c r="I81" s="11"/>
      <c r="J81" s="11"/>
      <c r="K81" s="11"/>
      <c r="L81" s="11"/>
      <c r="M81" s="11"/>
      <c r="N81" s="11"/>
      <c r="O81" s="11"/>
      <c r="P81" s="11"/>
      <c r="Q81" s="11"/>
      <c r="R81" s="11"/>
      <c r="S81" s="11"/>
      <c r="T81" s="11"/>
      <c r="U81" s="11"/>
      <c r="V81" s="11"/>
      <c r="W81" s="11"/>
      <c r="X81" s="11"/>
      <c r="Y81" s="11"/>
    </row>
    <row r="82" ht="15.75" customHeight="1">
      <c r="A82" s="11"/>
      <c r="B82" s="22">
        <v>0.5152</v>
      </c>
      <c r="C82" s="31">
        <f t="shared" si="1"/>
        <v>0.023604</v>
      </c>
      <c r="D82" s="10">
        <f t="shared" si="2"/>
        <v>0.000557148816</v>
      </c>
      <c r="E82" s="11"/>
      <c r="F82" s="11"/>
      <c r="G82" s="11"/>
      <c r="H82" s="11"/>
      <c r="I82" s="11"/>
      <c r="J82" s="11"/>
      <c r="K82" s="11"/>
      <c r="L82" s="11"/>
      <c r="M82" s="11"/>
      <c r="N82" s="11"/>
      <c r="O82" s="11"/>
      <c r="P82" s="11"/>
      <c r="Q82" s="11"/>
      <c r="R82" s="11"/>
      <c r="S82" s="11"/>
      <c r="T82" s="11"/>
      <c r="U82" s="11"/>
      <c r="V82" s="11"/>
      <c r="W82" s="11"/>
      <c r="X82" s="11"/>
      <c r="Y82" s="11"/>
    </row>
    <row r="83" ht="15.75" customHeight="1">
      <c r="A83" s="11"/>
      <c r="B83" s="22">
        <v>0.7965</v>
      </c>
      <c r="C83" s="22">
        <f t="shared" si="1"/>
        <v>0.304904</v>
      </c>
      <c r="D83" s="10">
        <f t="shared" si="2"/>
        <v>0.09296644922</v>
      </c>
      <c r="E83" s="11"/>
      <c r="F83" s="11"/>
      <c r="G83" s="11"/>
      <c r="H83" s="11"/>
      <c r="I83" s="11"/>
      <c r="J83" s="11"/>
      <c r="K83" s="11"/>
      <c r="L83" s="11"/>
      <c r="M83" s="11"/>
      <c r="N83" s="11"/>
      <c r="O83" s="11"/>
      <c r="P83" s="11"/>
      <c r="Q83" s="11"/>
      <c r="R83" s="11"/>
      <c r="S83" s="11"/>
      <c r="T83" s="11"/>
      <c r="U83" s="11"/>
      <c r="V83" s="11"/>
      <c r="W83" s="11"/>
      <c r="X83" s="11"/>
      <c r="Y83" s="11"/>
    </row>
    <row r="84" ht="15.75" customHeight="1">
      <c r="A84" s="11"/>
      <c r="B84" s="22">
        <v>0.3355</v>
      </c>
      <c r="C84" s="31">
        <f t="shared" si="1"/>
        <v>-0.156096</v>
      </c>
      <c r="D84" s="10">
        <f t="shared" si="2"/>
        <v>0.02436596122</v>
      </c>
      <c r="E84" s="11"/>
      <c r="F84" s="11"/>
      <c r="G84" s="11"/>
      <c r="H84" s="11"/>
      <c r="I84" s="11"/>
      <c r="J84" s="11"/>
      <c r="K84" s="11"/>
      <c r="L84" s="11"/>
      <c r="M84" s="11"/>
      <c r="N84" s="11"/>
      <c r="O84" s="11"/>
      <c r="P84" s="11"/>
      <c r="Q84" s="11"/>
      <c r="R84" s="11"/>
      <c r="S84" s="11"/>
      <c r="T84" s="11"/>
      <c r="U84" s="11"/>
      <c r="V84" s="11"/>
      <c r="W84" s="11"/>
      <c r="X84" s="11"/>
      <c r="Y84" s="11"/>
    </row>
    <row r="85" ht="15.75" customHeight="1">
      <c r="A85" s="11"/>
      <c r="B85" s="22">
        <v>0.1476</v>
      </c>
      <c r="C85" s="22">
        <f t="shared" si="1"/>
        <v>-0.343996</v>
      </c>
      <c r="D85" s="10">
        <f t="shared" si="2"/>
        <v>0.118333248</v>
      </c>
      <c r="E85" s="11"/>
      <c r="F85" s="11"/>
      <c r="G85" s="11"/>
      <c r="H85" s="11"/>
      <c r="I85" s="11"/>
      <c r="J85" s="11"/>
      <c r="K85" s="11"/>
      <c r="L85" s="11"/>
      <c r="M85" s="11"/>
      <c r="N85" s="11"/>
      <c r="O85" s="11"/>
      <c r="P85" s="11"/>
      <c r="Q85" s="11"/>
      <c r="R85" s="11"/>
      <c r="S85" s="11"/>
      <c r="T85" s="11"/>
      <c r="U85" s="11"/>
      <c r="V85" s="11"/>
      <c r="W85" s="11"/>
      <c r="X85" s="11"/>
      <c r="Y85" s="11"/>
    </row>
    <row r="86" ht="15.75" customHeight="1">
      <c r="A86" s="11"/>
      <c r="B86" s="22">
        <v>0.1039</v>
      </c>
      <c r="C86" s="31">
        <f t="shared" si="1"/>
        <v>-0.387696</v>
      </c>
      <c r="D86" s="10">
        <f t="shared" si="2"/>
        <v>0.1503081884</v>
      </c>
      <c r="E86" s="11"/>
      <c r="F86" s="11"/>
      <c r="G86" s="11"/>
      <c r="H86" s="11"/>
      <c r="I86" s="11"/>
      <c r="J86" s="11"/>
      <c r="K86" s="11"/>
      <c r="L86" s="11"/>
      <c r="M86" s="11"/>
      <c r="N86" s="11"/>
      <c r="O86" s="11"/>
      <c r="P86" s="11"/>
      <c r="Q86" s="11"/>
      <c r="R86" s="11"/>
      <c r="S86" s="11"/>
      <c r="T86" s="11"/>
      <c r="U86" s="11"/>
      <c r="V86" s="11"/>
      <c r="W86" s="11"/>
      <c r="X86" s="11"/>
      <c r="Y86" s="11"/>
    </row>
    <row r="87" ht="15.75" customHeight="1">
      <c r="A87" s="11"/>
      <c r="B87" s="22">
        <v>7.0E-4</v>
      </c>
      <c r="C87" s="22">
        <f t="shared" si="1"/>
        <v>-0.490896</v>
      </c>
      <c r="D87" s="10">
        <f t="shared" si="2"/>
        <v>0.2409788828</v>
      </c>
      <c r="E87" s="11"/>
      <c r="F87" s="11"/>
      <c r="G87" s="11"/>
      <c r="H87" s="11"/>
      <c r="I87" s="11"/>
      <c r="J87" s="11"/>
      <c r="K87" s="11"/>
      <c r="L87" s="11"/>
      <c r="M87" s="11"/>
      <c r="N87" s="11"/>
      <c r="O87" s="11"/>
      <c r="P87" s="11"/>
      <c r="Q87" s="11"/>
      <c r="R87" s="11"/>
      <c r="S87" s="11"/>
      <c r="T87" s="11"/>
      <c r="U87" s="11"/>
      <c r="V87" s="11"/>
      <c r="W87" s="11"/>
      <c r="X87" s="11"/>
      <c r="Y87" s="11"/>
    </row>
    <row r="88" ht="15.75" customHeight="1">
      <c r="A88" s="11"/>
      <c r="B88" s="22">
        <v>0.0336</v>
      </c>
      <c r="C88" s="31">
        <f t="shared" si="1"/>
        <v>-0.457996</v>
      </c>
      <c r="D88" s="10">
        <f t="shared" si="2"/>
        <v>0.209760336</v>
      </c>
      <c r="E88" s="11"/>
      <c r="F88" s="11"/>
      <c r="G88" s="11"/>
      <c r="H88" s="11"/>
      <c r="I88" s="11"/>
      <c r="J88" s="11"/>
      <c r="K88" s="11"/>
      <c r="L88" s="11"/>
      <c r="M88" s="11"/>
      <c r="N88" s="11"/>
      <c r="O88" s="11"/>
      <c r="P88" s="11"/>
      <c r="Q88" s="11"/>
      <c r="R88" s="11"/>
      <c r="S88" s="11"/>
      <c r="T88" s="11"/>
      <c r="U88" s="11"/>
      <c r="V88" s="11"/>
      <c r="W88" s="11"/>
      <c r="X88" s="11"/>
      <c r="Y88" s="11"/>
    </row>
    <row r="89" ht="15.75" customHeight="1">
      <c r="A89" s="11"/>
      <c r="B89" s="22">
        <v>0.6171</v>
      </c>
      <c r="C89" s="22">
        <f t="shared" si="1"/>
        <v>0.125504</v>
      </c>
      <c r="D89" s="10">
        <f t="shared" si="2"/>
        <v>0.01575125402</v>
      </c>
      <c r="E89" s="11"/>
      <c r="F89" s="11"/>
      <c r="G89" s="11"/>
      <c r="H89" s="11"/>
      <c r="I89" s="11"/>
      <c r="J89" s="11"/>
      <c r="K89" s="11"/>
      <c r="L89" s="11"/>
      <c r="M89" s="11"/>
      <c r="N89" s="11"/>
      <c r="O89" s="11"/>
      <c r="P89" s="11"/>
      <c r="Q89" s="11"/>
      <c r="R89" s="11"/>
      <c r="S89" s="11"/>
      <c r="T89" s="11"/>
      <c r="U89" s="11"/>
      <c r="V89" s="11"/>
      <c r="W89" s="11"/>
      <c r="X89" s="11"/>
      <c r="Y89" s="11"/>
    </row>
    <row r="90" ht="15.75" customHeight="1">
      <c r="A90" s="11"/>
      <c r="B90" s="22">
        <v>0.701</v>
      </c>
      <c r="C90" s="31">
        <f t="shared" si="1"/>
        <v>0.209404</v>
      </c>
      <c r="D90" s="10">
        <f t="shared" si="2"/>
        <v>0.04385003522</v>
      </c>
      <c r="E90" s="11"/>
      <c r="F90" s="11"/>
      <c r="G90" s="11"/>
      <c r="H90" s="11"/>
      <c r="I90" s="11"/>
      <c r="J90" s="11"/>
      <c r="K90" s="11"/>
      <c r="L90" s="11"/>
      <c r="M90" s="11"/>
      <c r="N90" s="11"/>
      <c r="O90" s="11"/>
      <c r="P90" s="11"/>
      <c r="Q90" s="11"/>
      <c r="R90" s="11"/>
      <c r="S90" s="11"/>
      <c r="T90" s="11"/>
      <c r="U90" s="11"/>
      <c r="V90" s="11"/>
      <c r="W90" s="11"/>
      <c r="X90" s="11"/>
      <c r="Y90" s="11"/>
    </row>
    <row r="91" ht="15.75" customHeight="1">
      <c r="A91" s="11"/>
      <c r="B91" s="22">
        <v>0.7391</v>
      </c>
      <c r="C91" s="22">
        <f t="shared" si="1"/>
        <v>0.247504</v>
      </c>
      <c r="D91" s="10">
        <f t="shared" si="2"/>
        <v>0.06125823002</v>
      </c>
      <c r="E91" s="11"/>
      <c r="F91" s="11"/>
      <c r="G91" s="11"/>
      <c r="H91" s="11"/>
      <c r="I91" s="11"/>
      <c r="J91" s="11"/>
      <c r="K91" s="11"/>
      <c r="L91" s="11"/>
      <c r="M91" s="11"/>
      <c r="N91" s="11"/>
      <c r="O91" s="11"/>
      <c r="P91" s="11"/>
      <c r="Q91" s="11"/>
      <c r="R91" s="11"/>
      <c r="S91" s="11"/>
      <c r="T91" s="11"/>
      <c r="U91" s="11"/>
      <c r="V91" s="11"/>
      <c r="W91" s="11"/>
      <c r="X91" s="11"/>
      <c r="Y91" s="11"/>
    </row>
    <row r="92" ht="15.75" customHeight="1">
      <c r="A92" s="11"/>
      <c r="B92" s="22">
        <v>0.5728</v>
      </c>
      <c r="C92" s="31">
        <f t="shared" si="1"/>
        <v>0.081204</v>
      </c>
      <c r="D92" s="10">
        <f t="shared" si="2"/>
        <v>0.006594089616</v>
      </c>
      <c r="E92" s="11"/>
      <c r="F92" s="11"/>
      <c r="G92" s="11"/>
      <c r="H92" s="11"/>
      <c r="I92" s="11"/>
      <c r="J92" s="11"/>
      <c r="K92" s="11"/>
      <c r="L92" s="11"/>
      <c r="M92" s="11"/>
      <c r="N92" s="11"/>
      <c r="O92" s="11"/>
      <c r="P92" s="11"/>
      <c r="Q92" s="11"/>
      <c r="R92" s="11"/>
      <c r="S92" s="11"/>
      <c r="T92" s="11"/>
      <c r="U92" s="11"/>
      <c r="V92" s="11"/>
      <c r="W92" s="11"/>
      <c r="X92" s="11"/>
      <c r="Y92" s="11"/>
    </row>
    <row r="93" ht="15.75" customHeight="1">
      <c r="A93" s="11"/>
      <c r="B93" s="22">
        <v>0.5688</v>
      </c>
      <c r="C93" s="22">
        <f t="shared" si="1"/>
        <v>0.077204</v>
      </c>
      <c r="D93" s="10">
        <f t="shared" si="2"/>
        <v>0.005960457616</v>
      </c>
      <c r="E93" s="11"/>
      <c r="F93" s="11"/>
      <c r="G93" s="11"/>
      <c r="H93" s="11"/>
      <c r="I93" s="11"/>
      <c r="J93" s="11"/>
      <c r="K93" s="11"/>
      <c r="L93" s="11"/>
      <c r="M93" s="11"/>
      <c r="N93" s="11"/>
      <c r="O93" s="11"/>
      <c r="P93" s="11"/>
      <c r="Q93" s="11"/>
      <c r="R93" s="11"/>
      <c r="S93" s="11"/>
      <c r="T93" s="11"/>
      <c r="U93" s="11"/>
      <c r="V93" s="11"/>
      <c r="W93" s="11"/>
      <c r="X93" s="11"/>
      <c r="Y93" s="11"/>
    </row>
    <row r="94" ht="15.75" customHeight="1">
      <c r="A94" s="11"/>
      <c r="B94" s="22">
        <v>0.3763</v>
      </c>
      <c r="C94" s="31">
        <f t="shared" si="1"/>
        <v>-0.115296</v>
      </c>
      <c r="D94" s="10">
        <f t="shared" si="2"/>
        <v>0.01329316762</v>
      </c>
      <c r="E94" s="11"/>
      <c r="F94" s="11"/>
      <c r="G94" s="11"/>
      <c r="H94" s="11"/>
      <c r="I94" s="11"/>
      <c r="J94" s="11"/>
      <c r="K94" s="11"/>
      <c r="L94" s="11"/>
      <c r="M94" s="11"/>
      <c r="N94" s="11"/>
      <c r="O94" s="11"/>
      <c r="P94" s="11"/>
      <c r="Q94" s="11"/>
      <c r="R94" s="11"/>
      <c r="S94" s="11"/>
      <c r="T94" s="11"/>
      <c r="U94" s="11"/>
      <c r="V94" s="11"/>
      <c r="W94" s="11"/>
      <c r="X94" s="11"/>
      <c r="Y94" s="11"/>
    </row>
    <row r="95" ht="15.75" customHeight="1">
      <c r="A95" s="11"/>
      <c r="B95" s="22">
        <v>0.1113</v>
      </c>
      <c r="C95" s="22">
        <f t="shared" si="1"/>
        <v>-0.380296</v>
      </c>
      <c r="D95" s="10">
        <f t="shared" si="2"/>
        <v>0.1446250476</v>
      </c>
      <c r="E95" s="11"/>
      <c r="F95" s="11"/>
      <c r="G95" s="11"/>
      <c r="H95" s="11"/>
      <c r="I95" s="11"/>
      <c r="J95" s="11"/>
      <c r="K95" s="11"/>
      <c r="L95" s="11"/>
      <c r="M95" s="11"/>
      <c r="N95" s="11"/>
      <c r="O95" s="11"/>
      <c r="P95" s="11"/>
      <c r="Q95" s="11"/>
      <c r="R95" s="11"/>
      <c r="S95" s="11"/>
      <c r="T95" s="11"/>
      <c r="U95" s="11"/>
      <c r="V95" s="11"/>
      <c r="W95" s="11"/>
      <c r="X95" s="11"/>
      <c r="Y95" s="11"/>
    </row>
    <row r="96" ht="15.75" customHeight="1">
      <c r="A96" s="11"/>
      <c r="B96" s="22">
        <v>0.3568</v>
      </c>
      <c r="C96" s="31">
        <f t="shared" si="1"/>
        <v>-0.134796</v>
      </c>
      <c r="D96" s="10">
        <f t="shared" si="2"/>
        <v>0.01816996162</v>
      </c>
      <c r="E96" s="11"/>
      <c r="F96" s="11"/>
      <c r="G96" s="11"/>
      <c r="H96" s="11"/>
      <c r="I96" s="11"/>
      <c r="J96" s="11"/>
      <c r="K96" s="11"/>
      <c r="L96" s="11"/>
      <c r="M96" s="11"/>
      <c r="N96" s="11"/>
      <c r="O96" s="11"/>
      <c r="P96" s="11"/>
      <c r="Q96" s="11"/>
      <c r="R96" s="11"/>
      <c r="S96" s="11"/>
      <c r="T96" s="11"/>
      <c r="U96" s="11"/>
      <c r="V96" s="11"/>
      <c r="W96" s="11"/>
      <c r="X96" s="11"/>
      <c r="Y96" s="11"/>
    </row>
    <row r="97" ht="15.75" customHeight="1">
      <c r="A97" s="11"/>
      <c r="B97" s="22">
        <v>0.1727</v>
      </c>
      <c r="C97" s="22">
        <f t="shared" si="1"/>
        <v>-0.318896</v>
      </c>
      <c r="D97" s="10">
        <f t="shared" si="2"/>
        <v>0.1016946588</v>
      </c>
      <c r="E97" s="11"/>
      <c r="F97" s="11"/>
      <c r="G97" s="11"/>
      <c r="H97" s="11"/>
      <c r="I97" s="11"/>
      <c r="J97" s="11"/>
      <c r="K97" s="11"/>
      <c r="L97" s="11"/>
      <c r="M97" s="11"/>
      <c r="N97" s="11"/>
      <c r="O97" s="11"/>
      <c r="P97" s="11"/>
      <c r="Q97" s="11"/>
      <c r="R97" s="11"/>
      <c r="S97" s="11"/>
      <c r="T97" s="11"/>
      <c r="U97" s="11"/>
      <c r="V97" s="11"/>
      <c r="W97" s="11"/>
      <c r="X97" s="11"/>
      <c r="Y97" s="11"/>
    </row>
    <row r="98" ht="15.75" customHeight="1">
      <c r="A98" s="11"/>
      <c r="B98" s="22">
        <v>0.312</v>
      </c>
      <c r="C98" s="31">
        <f t="shared" si="1"/>
        <v>-0.179596</v>
      </c>
      <c r="D98" s="10">
        <f t="shared" si="2"/>
        <v>0.03225472322</v>
      </c>
      <c r="E98" s="11"/>
      <c r="F98" s="11"/>
      <c r="G98" s="11"/>
      <c r="H98" s="11"/>
      <c r="I98" s="11"/>
      <c r="J98" s="11"/>
      <c r="K98" s="11"/>
      <c r="L98" s="11"/>
      <c r="M98" s="11"/>
      <c r="N98" s="11"/>
      <c r="O98" s="11"/>
      <c r="P98" s="11"/>
      <c r="Q98" s="11"/>
      <c r="R98" s="11"/>
      <c r="S98" s="11"/>
      <c r="T98" s="11"/>
      <c r="U98" s="11"/>
      <c r="V98" s="11"/>
      <c r="W98" s="11"/>
      <c r="X98" s="11"/>
      <c r="Y98" s="11"/>
    </row>
    <row r="99" ht="15.75" customHeight="1">
      <c r="A99" s="11"/>
      <c r="B99" s="22">
        <v>0.0165</v>
      </c>
      <c r="C99" s="22">
        <f t="shared" si="1"/>
        <v>-0.475096</v>
      </c>
      <c r="D99" s="10">
        <f t="shared" si="2"/>
        <v>0.2257162092</v>
      </c>
      <c r="E99" s="11"/>
      <c r="F99" s="11"/>
      <c r="G99" s="11"/>
      <c r="H99" s="11"/>
      <c r="I99" s="11"/>
      <c r="J99" s="11"/>
      <c r="K99" s="11"/>
      <c r="L99" s="11"/>
      <c r="M99" s="11"/>
      <c r="N99" s="11"/>
      <c r="O99" s="11"/>
      <c r="P99" s="11"/>
      <c r="Q99" s="11"/>
      <c r="R99" s="11"/>
      <c r="S99" s="11"/>
      <c r="T99" s="11"/>
      <c r="U99" s="11"/>
      <c r="V99" s="11"/>
      <c r="W99" s="11"/>
      <c r="X99" s="11"/>
      <c r="Y99" s="11"/>
    </row>
    <row r="100" ht="15.75" customHeight="1">
      <c r="A100" s="11"/>
      <c r="B100" s="22">
        <v>0.7941</v>
      </c>
      <c r="C100" s="31">
        <f t="shared" si="1"/>
        <v>0.302504</v>
      </c>
      <c r="D100" s="10">
        <f t="shared" si="2"/>
        <v>0.09150867002</v>
      </c>
      <c r="E100" s="11"/>
      <c r="F100" s="11"/>
      <c r="G100" s="11"/>
      <c r="H100" s="11"/>
      <c r="I100" s="11"/>
      <c r="J100" s="11"/>
      <c r="K100" s="11"/>
      <c r="L100" s="11"/>
      <c r="M100" s="11"/>
      <c r="N100" s="11"/>
      <c r="O100" s="11"/>
      <c r="P100" s="11"/>
      <c r="Q100" s="11"/>
      <c r="R100" s="11"/>
      <c r="S100" s="11"/>
      <c r="T100" s="11"/>
      <c r="U100" s="11"/>
      <c r="V100" s="11"/>
      <c r="W100" s="11"/>
      <c r="X100" s="11"/>
      <c r="Y100" s="11"/>
    </row>
    <row r="101" ht="15.75" customHeight="1">
      <c r="A101" s="11"/>
      <c r="B101" s="22">
        <v>0.22</v>
      </c>
      <c r="C101" s="22">
        <f t="shared" si="1"/>
        <v>-0.271596</v>
      </c>
      <c r="D101" s="10">
        <f t="shared" si="2"/>
        <v>0.07376438722</v>
      </c>
      <c r="E101" s="11"/>
      <c r="F101" s="11"/>
      <c r="G101" s="11"/>
      <c r="H101" s="11"/>
      <c r="I101" s="11"/>
      <c r="J101" s="11"/>
      <c r="K101" s="11"/>
      <c r="L101" s="11"/>
      <c r="M101" s="11"/>
      <c r="N101" s="11"/>
      <c r="O101" s="11"/>
      <c r="P101" s="11"/>
      <c r="Q101" s="11"/>
      <c r="R101" s="11"/>
      <c r="S101" s="11"/>
      <c r="T101" s="11"/>
      <c r="U101" s="11"/>
      <c r="V101" s="11"/>
      <c r="W101" s="11"/>
      <c r="X101" s="11"/>
      <c r="Y101" s="11"/>
    </row>
    <row r="102" ht="15.75" customHeight="1">
      <c r="A102" s="11"/>
      <c r="B102" s="22">
        <v>0.5886</v>
      </c>
      <c r="C102" s="31">
        <f t="shared" si="1"/>
        <v>0.097004</v>
      </c>
      <c r="D102" s="10">
        <f t="shared" si="2"/>
        <v>0.009409776016</v>
      </c>
      <c r="E102" s="11"/>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11"/>
      <c r="B103" s="11"/>
      <c r="C103" s="11"/>
      <c r="D103" s="14">
        <f>SUM(D3:D102)</f>
        <v>7.530005138</v>
      </c>
      <c r="E103" s="11"/>
      <c r="F103" s="11"/>
      <c r="G103" s="11"/>
      <c r="H103" s="11"/>
      <c r="I103" s="11"/>
      <c r="J103" s="11"/>
      <c r="K103" s="11"/>
      <c r="L103" s="11"/>
      <c r="M103" s="11"/>
      <c r="N103" s="11"/>
      <c r="O103" s="11"/>
      <c r="P103" s="11"/>
      <c r="Q103" s="11"/>
      <c r="R103" s="11"/>
      <c r="S103" s="11"/>
      <c r="T103" s="11"/>
      <c r="U103" s="11"/>
      <c r="V103" s="11"/>
      <c r="W103" s="11"/>
      <c r="X103" s="11"/>
      <c r="Y103" s="11"/>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Y1"/>
    <mergeCell ref="G16:X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16.13"/>
    <col customWidth="1" min="6" max="6" width="12.63"/>
    <col customWidth="1" min="7" max="7" width="7.63"/>
    <col customWidth="1" min="8" max="8" width="13.0"/>
    <col customWidth="1" min="9" max="9" width="16.88"/>
    <col customWidth="1" min="10" max="10" width="16.13"/>
    <col customWidth="1" min="11" max="11" width="9.38"/>
  </cols>
  <sheetData>
    <row r="1" ht="15.75" customHeight="1">
      <c r="A1" s="50" t="s">
        <v>155</v>
      </c>
      <c r="B1" s="20"/>
      <c r="C1" s="20"/>
      <c r="D1" s="20"/>
      <c r="E1" s="20"/>
      <c r="F1" s="20"/>
      <c r="G1" s="20"/>
      <c r="H1" s="20"/>
      <c r="I1" s="20"/>
      <c r="J1" s="20"/>
      <c r="K1" s="20"/>
      <c r="L1" s="20"/>
      <c r="M1" s="20"/>
      <c r="N1" s="20"/>
      <c r="O1" s="20"/>
      <c r="P1" s="20"/>
      <c r="Q1" s="20"/>
      <c r="R1" s="20"/>
      <c r="S1" s="20"/>
      <c r="T1" s="20"/>
      <c r="U1" s="20"/>
      <c r="V1" s="17"/>
      <c r="W1" s="51"/>
      <c r="X1" s="51"/>
      <c r="Y1" s="51"/>
      <c r="Z1" s="52"/>
    </row>
    <row r="2" ht="15.75" customHeight="1">
      <c r="A2" s="53"/>
      <c r="B2" s="54"/>
      <c r="C2" s="54"/>
      <c r="D2" s="54"/>
      <c r="E2" s="54"/>
      <c r="F2" s="54"/>
      <c r="G2" s="54"/>
      <c r="H2" s="54"/>
      <c r="I2" s="54"/>
      <c r="J2" s="54"/>
      <c r="K2" s="54"/>
      <c r="L2" s="54"/>
      <c r="M2" s="54"/>
      <c r="N2" s="54"/>
      <c r="O2" s="54"/>
      <c r="P2" s="54"/>
      <c r="Q2" s="54"/>
      <c r="R2" s="54"/>
      <c r="S2" s="54"/>
      <c r="T2" s="54"/>
      <c r="U2" s="54"/>
      <c r="V2" s="54"/>
      <c r="W2" s="54"/>
      <c r="X2" s="54"/>
      <c r="Y2" s="54"/>
      <c r="Z2" s="55"/>
    </row>
    <row r="3" ht="15.75" customHeight="1">
      <c r="A3" s="53"/>
      <c r="B3" s="54"/>
      <c r="C3" s="54"/>
      <c r="D3" s="54"/>
      <c r="E3" s="54"/>
      <c r="F3" s="54"/>
      <c r="G3" s="54"/>
      <c r="H3" s="54"/>
      <c r="I3" s="54"/>
      <c r="J3" s="54"/>
      <c r="K3" s="54"/>
      <c r="L3" s="54"/>
      <c r="M3" s="54"/>
      <c r="N3" s="54"/>
      <c r="O3" s="54"/>
      <c r="P3" s="54"/>
      <c r="Q3" s="54"/>
      <c r="R3" s="54"/>
      <c r="S3" s="54"/>
      <c r="T3" s="54"/>
      <c r="U3" s="54"/>
      <c r="V3" s="54"/>
      <c r="W3" s="54"/>
      <c r="X3" s="54"/>
      <c r="Y3" s="54"/>
      <c r="Z3" s="55"/>
    </row>
    <row r="4" ht="15.75" customHeight="1">
      <c r="A4" s="53"/>
      <c r="B4" s="56">
        <v>0.442</v>
      </c>
      <c r="C4" s="54"/>
      <c r="D4" s="54"/>
      <c r="E4" s="54"/>
      <c r="F4" s="54"/>
      <c r="G4" s="54"/>
      <c r="H4" s="54"/>
      <c r="I4" s="54"/>
      <c r="J4" s="54"/>
      <c r="K4" s="54"/>
      <c r="L4" s="54"/>
      <c r="M4" s="54"/>
      <c r="N4" s="54"/>
      <c r="O4" s="54"/>
      <c r="P4" s="54"/>
      <c r="Q4" s="54"/>
      <c r="R4" s="54"/>
      <c r="S4" s="54"/>
      <c r="T4" s="54"/>
      <c r="U4" s="54"/>
      <c r="V4" s="54"/>
      <c r="W4" s="54"/>
      <c r="X4" s="54"/>
      <c r="Y4" s="54"/>
      <c r="Z4" s="55"/>
    </row>
    <row r="5" ht="15.75" customHeight="1">
      <c r="A5" s="53"/>
      <c r="B5" s="56">
        <v>0.2734</v>
      </c>
      <c r="C5" s="54"/>
      <c r="D5" s="54"/>
      <c r="E5" s="57"/>
      <c r="F5" s="58" t="s">
        <v>156</v>
      </c>
      <c r="G5" s="59">
        <v>100.0</v>
      </c>
      <c r="H5" s="54"/>
      <c r="I5" s="54"/>
      <c r="J5" s="54"/>
      <c r="K5" s="54"/>
      <c r="L5" s="54"/>
      <c r="M5" s="54"/>
      <c r="N5" s="54"/>
      <c r="O5" s="54"/>
      <c r="P5" s="54"/>
      <c r="Q5" s="54"/>
      <c r="R5" s="54"/>
      <c r="S5" s="54"/>
      <c r="T5" s="54"/>
      <c r="U5" s="54"/>
      <c r="V5" s="54"/>
      <c r="W5" s="54"/>
      <c r="X5" s="54"/>
      <c r="Y5" s="54"/>
      <c r="Z5" s="55"/>
    </row>
    <row r="6" ht="15.75" customHeight="1">
      <c r="A6" s="53"/>
      <c r="B6" s="56">
        <v>0.1587</v>
      </c>
      <c r="C6" s="54"/>
      <c r="D6" s="54"/>
      <c r="E6" s="60" t="s">
        <v>157</v>
      </c>
      <c r="F6" s="61" t="s">
        <v>158</v>
      </c>
      <c r="G6" s="62">
        <f>SQRT(G5)</f>
        <v>10</v>
      </c>
      <c r="H6" s="63" t="str">
        <f>REDONDEAR.MAS(G6 ,0)</f>
        <v>#ERROR!</v>
      </c>
      <c r="I6" s="54"/>
      <c r="J6" s="54"/>
      <c r="K6" s="54"/>
      <c r="L6" s="54"/>
      <c r="M6" s="54"/>
      <c r="N6" s="54"/>
      <c r="O6" s="54"/>
      <c r="P6" s="54"/>
      <c r="Q6" s="54"/>
      <c r="R6" s="54"/>
      <c r="S6" s="54"/>
      <c r="T6" s="54"/>
      <c r="U6" s="54"/>
      <c r="V6" s="54"/>
      <c r="W6" s="54"/>
      <c r="X6" s="54"/>
      <c r="Y6" s="54"/>
      <c r="Z6" s="55"/>
    </row>
    <row r="7" ht="15.75" customHeight="1">
      <c r="A7" s="53"/>
      <c r="B7" s="56">
        <v>0.6382</v>
      </c>
      <c r="C7" s="54"/>
      <c r="D7" s="54"/>
      <c r="E7" s="60" t="s">
        <v>159</v>
      </c>
      <c r="F7" s="61" t="s">
        <v>160</v>
      </c>
      <c r="G7" s="62">
        <f>SQRT(G5)</f>
        <v>10</v>
      </c>
      <c r="H7" s="62"/>
      <c r="I7" s="54"/>
      <c r="J7" s="54"/>
      <c r="K7" s="54"/>
      <c r="L7" s="54"/>
      <c r="M7" s="54"/>
      <c r="N7" s="54"/>
      <c r="O7" s="54"/>
      <c r="P7" s="54"/>
      <c r="Q7" s="54"/>
      <c r="R7" s="54"/>
      <c r="S7" s="54"/>
      <c r="T7" s="54"/>
      <c r="U7" s="54"/>
      <c r="V7" s="54"/>
      <c r="W7" s="54"/>
      <c r="X7" s="54"/>
      <c r="Y7" s="54"/>
      <c r="Z7" s="55"/>
    </row>
    <row r="8" ht="15.75" customHeight="1">
      <c r="A8" s="53"/>
      <c r="B8" s="56">
        <v>0.7165</v>
      </c>
      <c r="C8" s="54"/>
      <c r="D8" s="54"/>
      <c r="E8" s="54"/>
      <c r="F8" s="54"/>
      <c r="G8" s="64"/>
      <c r="H8" s="64"/>
      <c r="I8" s="64" t="s">
        <v>161</v>
      </c>
      <c r="J8" s="64" t="s">
        <v>159</v>
      </c>
      <c r="K8" s="64"/>
      <c r="L8" s="54"/>
      <c r="M8" s="54"/>
      <c r="N8" s="54"/>
      <c r="O8" s="54"/>
      <c r="P8" s="54"/>
      <c r="Q8" s="54"/>
      <c r="R8" s="54"/>
      <c r="S8" s="54"/>
      <c r="T8" s="54"/>
      <c r="U8" s="54"/>
      <c r="V8" s="54"/>
      <c r="W8" s="54"/>
      <c r="X8" s="54"/>
      <c r="Y8" s="54"/>
      <c r="Z8" s="55"/>
    </row>
    <row r="9" ht="15.75" customHeight="1">
      <c r="A9" s="53"/>
      <c r="B9" s="56">
        <v>0.4851</v>
      </c>
      <c r="C9" s="54"/>
      <c r="D9" s="54"/>
      <c r="E9" s="54"/>
      <c r="F9" s="54"/>
      <c r="G9" s="65" t="s">
        <v>162</v>
      </c>
      <c r="H9" s="17"/>
      <c r="I9" s="66" t="s">
        <v>163</v>
      </c>
      <c r="J9" s="66" t="s">
        <v>164</v>
      </c>
      <c r="K9" s="66" t="s">
        <v>165</v>
      </c>
      <c r="L9" s="54"/>
      <c r="M9" s="54"/>
      <c r="N9" s="54"/>
      <c r="O9" s="54"/>
      <c r="P9" s="54"/>
      <c r="Q9" s="54"/>
      <c r="R9" s="54"/>
      <c r="S9" s="54"/>
      <c r="T9" s="54"/>
      <c r="U9" s="54"/>
      <c r="V9" s="54"/>
      <c r="W9" s="54"/>
      <c r="X9" s="54"/>
      <c r="Y9" s="54"/>
      <c r="Z9" s="55"/>
    </row>
    <row r="10" ht="15.75" customHeight="1">
      <c r="A10" s="53"/>
      <c r="B10" s="56">
        <v>0.3478</v>
      </c>
      <c r="C10" s="54"/>
      <c r="D10" s="54"/>
      <c r="E10" s="54"/>
      <c r="F10" s="54"/>
      <c r="G10" s="67">
        <v>0.0</v>
      </c>
      <c r="H10" s="68">
        <f t="shared" ref="H10:H18" si="1">G11-0.0001</f>
        <v>0.0999</v>
      </c>
      <c r="I10" s="66">
        <f t="shared" ref="I10:I19" si="2">COUNTIFS($B$3:$B$1012,"&gt;="&amp;G10,$B$3:$B$1012,"&lt;="&amp;H10)</f>
        <v>10</v>
      </c>
      <c r="J10" s="66">
        <f t="shared" ref="J10:J19" si="3">$G$7</f>
        <v>10</v>
      </c>
      <c r="K10" s="67" t="str">
        <f>(POTENCIA(R[0]C[-1]-R[0]C[-2],2))/R[0]C[-1]</f>
        <v>#ERROR!</v>
      </c>
      <c r="L10" s="54"/>
      <c r="M10" s="54"/>
      <c r="N10" s="54"/>
      <c r="O10" s="54"/>
      <c r="P10" s="54"/>
      <c r="Q10" s="54"/>
      <c r="R10" s="54"/>
      <c r="S10" s="54"/>
      <c r="T10" s="54"/>
      <c r="U10" s="54"/>
      <c r="V10" s="54"/>
      <c r="W10" s="54"/>
      <c r="X10" s="54"/>
      <c r="Y10" s="54"/>
      <c r="Z10" s="55"/>
    </row>
    <row r="11" ht="15.75" customHeight="1">
      <c r="A11" s="53"/>
      <c r="B11" s="56">
        <v>0.7396</v>
      </c>
      <c r="C11" s="54"/>
      <c r="D11" s="54"/>
      <c r="E11" s="54"/>
      <c r="F11" s="54"/>
      <c r="G11" s="67">
        <v>0.1</v>
      </c>
      <c r="H11" s="68">
        <f t="shared" si="1"/>
        <v>0.1999</v>
      </c>
      <c r="I11" s="66">
        <f t="shared" si="2"/>
        <v>12</v>
      </c>
      <c r="J11" s="66">
        <f t="shared" si="3"/>
        <v>10</v>
      </c>
      <c r="K11" s="67" t="str">
        <f>(POTENCIA(R[0]C[-1]-R[0]C[-2],2))/R[0]C[-1]</f>
        <v>#ERROR!</v>
      </c>
      <c r="L11" s="54"/>
      <c r="M11" s="54"/>
      <c r="N11" s="54"/>
      <c r="O11" s="54"/>
      <c r="P11" s="54"/>
      <c r="Q11" s="54"/>
      <c r="R11" s="54"/>
      <c r="S11" s="54"/>
      <c r="T11" s="54"/>
      <c r="U11" s="54"/>
      <c r="V11" s="54"/>
      <c r="W11" s="54"/>
      <c r="X11" s="54"/>
      <c r="Y11" s="54"/>
      <c r="Z11" s="55"/>
    </row>
    <row r="12" ht="15.75" customHeight="1">
      <c r="A12" s="53"/>
      <c r="B12" s="56">
        <v>0.5969</v>
      </c>
      <c r="C12" s="54"/>
      <c r="D12" s="54"/>
      <c r="E12" s="54"/>
      <c r="F12" s="54"/>
      <c r="G12" s="67">
        <v>0.2</v>
      </c>
      <c r="H12" s="68">
        <f t="shared" si="1"/>
        <v>0.2999</v>
      </c>
      <c r="I12" s="66">
        <f t="shared" si="2"/>
        <v>4</v>
      </c>
      <c r="J12" s="66">
        <f t="shared" si="3"/>
        <v>10</v>
      </c>
      <c r="K12" s="67" t="str">
        <f>(POTENCIA(R[0]C[-1]-R[0]C[-2],2))/R[0]C[-1]</f>
        <v>#ERROR!</v>
      </c>
      <c r="L12" s="54"/>
      <c r="M12" s="54"/>
      <c r="N12" s="54"/>
      <c r="O12" s="54"/>
      <c r="P12" s="54"/>
      <c r="Q12" s="54"/>
      <c r="R12" s="54"/>
      <c r="S12" s="54"/>
      <c r="T12" s="54"/>
      <c r="U12" s="54"/>
      <c r="V12" s="54"/>
      <c r="W12" s="54"/>
      <c r="X12" s="54"/>
      <c r="Y12" s="54"/>
      <c r="Z12" s="55"/>
    </row>
    <row r="13" ht="15.75" customHeight="1">
      <c r="A13" s="53"/>
      <c r="B13" s="56">
        <v>0.7287</v>
      </c>
      <c r="C13" s="54"/>
      <c r="D13" s="54"/>
      <c r="E13" s="54"/>
      <c r="F13" s="54"/>
      <c r="G13" s="67">
        <v>0.3</v>
      </c>
      <c r="H13" s="68">
        <f t="shared" si="1"/>
        <v>0.3999</v>
      </c>
      <c r="I13" s="66">
        <f t="shared" si="2"/>
        <v>13</v>
      </c>
      <c r="J13" s="66">
        <f t="shared" si="3"/>
        <v>10</v>
      </c>
      <c r="K13" s="67" t="str">
        <f>(POTENCIA(R[0]C[-1]-R[0]C[-2],2))/R[0]C[-1]</f>
        <v>#ERROR!</v>
      </c>
      <c r="L13" s="54"/>
      <c r="M13" s="54"/>
      <c r="N13" s="54"/>
      <c r="O13" s="54"/>
      <c r="P13" s="54"/>
      <c r="Q13" s="54"/>
      <c r="R13" s="54"/>
      <c r="S13" s="54"/>
      <c r="T13" s="54"/>
      <c r="U13" s="54"/>
      <c r="V13" s="54"/>
      <c r="W13" s="54"/>
      <c r="X13" s="54"/>
      <c r="Y13" s="54"/>
      <c r="Z13" s="55"/>
    </row>
    <row r="14" ht="15.75" customHeight="1">
      <c r="A14" s="53"/>
      <c r="B14" s="56">
        <v>0.0723</v>
      </c>
      <c r="C14" s="54"/>
      <c r="D14" s="54"/>
      <c r="E14" s="54"/>
      <c r="F14" s="54"/>
      <c r="G14" s="67">
        <v>0.4</v>
      </c>
      <c r="H14" s="68">
        <f t="shared" si="1"/>
        <v>0.4999</v>
      </c>
      <c r="I14" s="66">
        <f t="shared" si="2"/>
        <v>9</v>
      </c>
      <c r="J14" s="66">
        <f t="shared" si="3"/>
        <v>10</v>
      </c>
      <c r="K14" s="67" t="str">
        <f>(POTENCIA(R[0]C[-1]-R[0]C[-2],2))/R[0]C[-1]</f>
        <v>#ERROR!</v>
      </c>
      <c r="L14" s="54"/>
      <c r="M14" s="54"/>
      <c r="N14" s="54"/>
      <c r="O14" s="54"/>
      <c r="P14" s="54"/>
      <c r="Q14" s="54"/>
      <c r="R14" s="54"/>
      <c r="S14" s="54"/>
      <c r="T14" s="54"/>
      <c r="U14" s="54"/>
      <c r="V14" s="54"/>
      <c r="W14" s="54"/>
      <c r="X14" s="54"/>
      <c r="Y14" s="54"/>
      <c r="Z14" s="55"/>
    </row>
    <row r="15" ht="15.75" customHeight="1">
      <c r="A15" s="53"/>
      <c r="B15" s="56">
        <v>0.4797</v>
      </c>
      <c r="C15" s="54"/>
      <c r="D15" s="54"/>
      <c r="E15" s="54"/>
      <c r="F15" s="54"/>
      <c r="G15" s="67">
        <v>0.5</v>
      </c>
      <c r="H15" s="68">
        <f t="shared" si="1"/>
        <v>0.5999</v>
      </c>
      <c r="I15" s="66">
        <f t="shared" si="2"/>
        <v>15</v>
      </c>
      <c r="J15" s="66">
        <f t="shared" si="3"/>
        <v>10</v>
      </c>
      <c r="K15" s="67" t="str">
        <f>(POTENCIA(R[0]C[-1]-R[0]C[-2],2))/R[0]C[-1]</f>
        <v>#ERROR!</v>
      </c>
      <c r="L15" s="54"/>
      <c r="M15" s="54"/>
      <c r="N15" s="54"/>
      <c r="O15" s="54"/>
      <c r="P15" s="54"/>
      <c r="Q15" s="54"/>
      <c r="R15" s="54"/>
      <c r="S15" s="54"/>
      <c r="T15" s="54"/>
      <c r="U15" s="54"/>
      <c r="V15" s="54"/>
      <c r="W15" s="54"/>
      <c r="X15" s="54"/>
      <c r="Y15" s="54"/>
      <c r="Z15" s="55"/>
    </row>
    <row r="16" ht="15.75" customHeight="1">
      <c r="A16" s="53"/>
      <c r="B16" s="56">
        <v>0.0879</v>
      </c>
      <c r="C16" s="54"/>
      <c r="D16" s="54"/>
      <c r="E16" s="54"/>
      <c r="F16" s="54"/>
      <c r="G16" s="67">
        <v>0.6</v>
      </c>
      <c r="H16" s="68">
        <f t="shared" si="1"/>
        <v>0.6999</v>
      </c>
      <c r="I16" s="66">
        <f t="shared" si="2"/>
        <v>7</v>
      </c>
      <c r="J16" s="66">
        <f t="shared" si="3"/>
        <v>10</v>
      </c>
      <c r="K16" s="67" t="str">
        <f>(POTENCIA(R[0]C[-1]-R[0]C[-2],2))/R[0]C[-1]</f>
        <v>#ERROR!</v>
      </c>
      <c r="L16" s="54"/>
      <c r="M16" s="54"/>
      <c r="N16" s="54"/>
      <c r="O16" s="54"/>
      <c r="P16" s="54"/>
      <c r="Q16" s="54"/>
      <c r="R16" s="54"/>
      <c r="S16" s="54"/>
      <c r="T16" s="54"/>
      <c r="U16" s="54"/>
      <c r="V16" s="54"/>
      <c r="W16" s="54"/>
      <c r="X16" s="54"/>
      <c r="Y16" s="54"/>
      <c r="Z16" s="55"/>
    </row>
    <row r="17" ht="15.75" customHeight="1">
      <c r="A17" s="53"/>
      <c r="B17" s="56">
        <v>0.2306</v>
      </c>
      <c r="C17" s="54"/>
      <c r="D17" s="54"/>
      <c r="E17" s="54"/>
      <c r="F17" s="54"/>
      <c r="G17" s="67">
        <v>0.7</v>
      </c>
      <c r="H17" s="68">
        <f t="shared" si="1"/>
        <v>0.7999</v>
      </c>
      <c r="I17" s="66">
        <f t="shared" si="2"/>
        <v>14</v>
      </c>
      <c r="J17" s="66">
        <f t="shared" si="3"/>
        <v>10</v>
      </c>
      <c r="K17" s="67" t="str">
        <f>(POTENCIA(R[0]C[-1]-R[0]C[-2],2))/R[0]C[-1]</f>
        <v>#ERROR!</v>
      </c>
      <c r="L17" s="54"/>
      <c r="M17" s="54"/>
      <c r="N17" s="54"/>
      <c r="O17" s="54"/>
      <c r="P17" s="54"/>
      <c r="Q17" s="54"/>
      <c r="R17" s="54"/>
      <c r="S17" s="54"/>
      <c r="T17" s="54"/>
      <c r="U17" s="54"/>
      <c r="V17" s="54"/>
      <c r="W17" s="54"/>
      <c r="X17" s="54"/>
      <c r="Y17" s="54"/>
      <c r="Z17" s="55"/>
    </row>
    <row r="18" ht="15.75" customHeight="1">
      <c r="A18" s="53"/>
      <c r="B18" s="56">
        <v>0.0987</v>
      </c>
      <c r="C18" s="54"/>
      <c r="D18" s="54"/>
      <c r="E18" s="54"/>
      <c r="F18" s="54"/>
      <c r="G18" s="67">
        <v>0.8</v>
      </c>
      <c r="H18" s="68">
        <f t="shared" si="1"/>
        <v>0.8999</v>
      </c>
      <c r="I18" s="66">
        <f t="shared" si="2"/>
        <v>12</v>
      </c>
      <c r="J18" s="66">
        <f t="shared" si="3"/>
        <v>10</v>
      </c>
      <c r="K18" s="67" t="str">
        <f>(POTENCIA(R[0]C[-1]-R[0]C[-2],2))/R[0]C[-1]</f>
        <v>#ERROR!</v>
      </c>
      <c r="L18" s="54"/>
      <c r="M18" s="54"/>
      <c r="N18" s="54"/>
      <c r="O18" s="54"/>
      <c r="P18" s="54"/>
      <c r="Q18" s="54"/>
      <c r="R18" s="54"/>
      <c r="S18" s="54"/>
      <c r="T18" s="54"/>
      <c r="U18" s="54"/>
      <c r="V18" s="54"/>
      <c r="W18" s="54"/>
      <c r="X18" s="54"/>
      <c r="Y18" s="54"/>
      <c r="Z18" s="55"/>
    </row>
    <row r="19" ht="15.75" customHeight="1">
      <c r="A19" s="53"/>
      <c r="B19" s="56">
        <v>0.7504</v>
      </c>
      <c r="C19" s="54"/>
      <c r="D19" s="54"/>
      <c r="E19" s="54"/>
      <c r="F19" s="54"/>
      <c r="G19" s="67">
        <v>0.9</v>
      </c>
      <c r="H19" s="59">
        <v>0.9999</v>
      </c>
      <c r="I19" s="66">
        <f t="shared" si="2"/>
        <v>4</v>
      </c>
      <c r="J19" s="66">
        <f t="shared" si="3"/>
        <v>10</v>
      </c>
      <c r="K19" s="67" t="str">
        <f>(POTENCIA(R[0]C[-1]-R[0]C[-2],2))/R[0]C[-1]</f>
        <v>#ERROR!</v>
      </c>
      <c r="L19" s="54"/>
      <c r="M19" s="54"/>
      <c r="N19" s="54"/>
      <c r="O19" s="54"/>
      <c r="P19" s="54"/>
      <c r="Q19" s="54"/>
      <c r="R19" s="54"/>
      <c r="S19" s="54"/>
      <c r="T19" s="54"/>
      <c r="U19" s="54"/>
      <c r="V19" s="54"/>
      <c r="W19" s="54"/>
      <c r="X19" s="54"/>
      <c r="Y19" s="54"/>
      <c r="Z19" s="55"/>
    </row>
    <row r="20" ht="15.75" customHeight="1">
      <c r="A20" s="53"/>
      <c r="B20" s="56">
        <v>0.1167</v>
      </c>
      <c r="C20" s="54"/>
      <c r="D20" s="54"/>
      <c r="E20" s="54"/>
      <c r="F20" s="54"/>
      <c r="L20" s="54"/>
      <c r="M20" s="54"/>
      <c r="N20" s="54"/>
      <c r="O20" s="54"/>
      <c r="P20" s="54"/>
      <c r="Q20" s="54"/>
      <c r="R20" s="54"/>
      <c r="S20" s="54"/>
      <c r="T20" s="54"/>
      <c r="U20" s="54"/>
      <c r="V20" s="54"/>
      <c r="W20" s="54"/>
      <c r="X20" s="54"/>
      <c r="Y20" s="54"/>
      <c r="Z20" s="55"/>
    </row>
    <row r="21" ht="15.75" customHeight="1">
      <c r="A21" s="53"/>
      <c r="B21" s="56">
        <v>0.6167</v>
      </c>
      <c r="C21" s="54"/>
      <c r="D21" s="54"/>
      <c r="E21" s="54"/>
      <c r="F21" s="54"/>
      <c r="G21" s="54"/>
      <c r="H21" s="54"/>
      <c r="I21" s="54"/>
      <c r="J21" s="54"/>
      <c r="K21" s="54"/>
      <c r="L21" s="54"/>
      <c r="M21" s="54"/>
      <c r="N21" s="54"/>
      <c r="O21" s="54"/>
      <c r="P21" s="54"/>
      <c r="Q21" s="54"/>
      <c r="R21" s="54"/>
      <c r="S21" s="54"/>
      <c r="T21" s="54"/>
      <c r="U21" s="54"/>
      <c r="V21" s="54"/>
      <c r="W21" s="54"/>
      <c r="X21" s="54"/>
      <c r="Y21" s="54"/>
      <c r="Z21" s="55"/>
    </row>
    <row r="22" ht="15.75" customHeight="1">
      <c r="A22" s="53"/>
      <c r="B22" s="56">
        <v>0.6817</v>
      </c>
      <c r="C22" s="54"/>
      <c r="D22" s="54"/>
      <c r="F22" s="54"/>
      <c r="G22" s="54"/>
      <c r="H22" s="54"/>
      <c r="I22" s="54"/>
      <c r="J22" s="54"/>
      <c r="K22" s="54"/>
      <c r="L22" s="54"/>
      <c r="M22" s="54"/>
      <c r="N22" s="54"/>
      <c r="O22" s="54"/>
      <c r="P22" s="54"/>
      <c r="Q22" s="54"/>
      <c r="R22" s="54"/>
      <c r="S22" s="54"/>
      <c r="T22" s="54"/>
      <c r="U22" s="54"/>
      <c r="V22" s="54"/>
      <c r="W22" s="54"/>
      <c r="X22" s="54"/>
      <c r="Y22" s="54"/>
      <c r="Z22" s="55"/>
    </row>
    <row r="23" ht="15.75" customHeight="1">
      <c r="A23" s="53"/>
      <c r="B23" s="56">
        <v>0.8102</v>
      </c>
      <c r="C23" s="54"/>
      <c r="D23" s="54"/>
      <c r="E23" s="54"/>
      <c r="F23" s="54"/>
      <c r="G23" s="54"/>
      <c r="H23" s="54"/>
      <c r="I23" s="54"/>
      <c r="J23" s="54"/>
      <c r="K23" s="54"/>
      <c r="L23" s="54"/>
      <c r="M23" s="54"/>
      <c r="N23" s="54"/>
      <c r="O23" s="54"/>
      <c r="P23" s="54"/>
      <c r="Q23" s="54"/>
      <c r="R23" s="54"/>
      <c r="S23" s="54"/>
      <c r="T23" s="54"/>
      <c r="U23" s="54"/>
      <c r="V23" s="54"/>
      <c r="W23" s="54"/>
      <c r="X23" s="54"/>
      <c r="Y23" s="54"/>
      <c r="Z23" s="55"/>
    </row>
    <row r="24" ht="15.75" customHeight="1">
      <c r="A24" s="53"/>
      <c r="B24" s="56">
        <v>0.9949</v>
      </c>
      <c r="C24" s="54"/>
      <c r="D24" s="54"/>
      <c r="E24" s="54"/>
      <c r="F24" s="54"/>
      <c r="G24" s="54"/>
      <c r="H24" s="54"/>
      <c r="I24" s="54"/>
      <c r="J24" s="54"/>
      <c r="K24" s="54"/>
      <c r="L24" s="54"/>
      <c r="M24" s="54"/>
      <c r="N24" s="54"/>
      <c r="O24" s="54"/>
      <c r="P24" s="54"/>
      <c r="Q24" s="54"/>
      <c r="R24" s="54"/>
      <c r="S24" s="54"/>
      <c r="T24" s="54"/>
      <c r="U24" s="54"/>
      <c r="V24" s="54"/>
      <c r="W24" s="54"/>
      <c r="X24" s="54"/>
      <c r="Y24" s="54"/>
      <c r="Z24" s="55"/>
    </row>
    <row r="25" ht="15.75" customHeight="1">
      <c r="A25" s="53"/>
      <c r="B25" s="56">
        <v>0.8845</v>
      </c>
      <c r="C25" s="54"/>
      <c r="D25" s="54"/>
      <c r="E25" s="54"/>
      <c r="F25" s="54"/>
      <c r="G25" s="54"/>
      <c r="H25" s="54"/>
      <c r="I25" s="54"/>
      <c r="J25" s="54"/>
      <c r="K25" s="54"/>
      <c r="L25" s="54"/>
      <c r="M25" s="54"/>
      <c r="N25" s="54"/>
      <c r="O25" s="54"/>
      <c r="P25" s="54"/>
      <c r="Q25" s="54"/>
      <c r="R25" s="54"/>
      <c r="S25" s="54"/>
      <c r="T25" s="54"/>
      <c r="U25" s="54"/>
      <c r="V25" s="54"/>
      <c r="W25" s="54"/>
      <c r="X25" s="54"/>
      <c r="Y25" s="54"/>
      <c r="Z25" s="55"/>
    </row>
    <row r="26" ht="15.75" customHeight="1">
      <c r="A26" s="53"/>
      <c r="B26" s="56">
        <v>0.5709</v>
      </c>
      <c r="C26" s="54"/>
      <c r="D26" s="54"/>
      <c r="E26" s="54"/>
      <c r="F26" s="54"/>
      <c r="G26" s="54"/>
      <c r="H26" s="54"/>
      <c r="I26" s="54"/>
      <c r="J26" s="54"/>
      <c r="K26" s="54"/>
      <c r="L26" s="54"/>
      <c r="M26" s="54"/>
      <c r="N26" s="54"/>
      <c r="O26" s="54"/>
      <c r="P26" s="54"/>
      <c r="Q26" s="54"/>
      <c r="R26" s="54"/>
      <c r="S26" s="54"/>
      <c r="T26" s="54"/>
      <c r="U26" s="54"/>
      <c r="V26" s="54"/>
      <c r="W26" s="54"/>
      <c r="X26" s="54"/>
      <c r="Y26" s="54"/>
      <c r="Z26" s="55"/>
    </row>
    <row r="27" ht="15.75" customHeight="1">
      <c r="A27" s="53"/>
      <c r="B27" s="56">
        <v>0.4774</v>
      </c>
      <c r="C27" s="54"/>
      <c r="D27" s="54"/>
      <c r="E27" s="54"/>
      <c r="F27" s="54"/>
      <c r="G27" s="54"/>
      <c r="H27" s="54"/>
      <c r="I27" s="54"/>
      <c r="J27" s="54"/>
      <c r="K27" s="54"/>
      <c r="L27" s="54"/>
      <c r="M27" s="54"/>
      <c r="N27" s="54"/>
      <c r="O27" s="54"/>
      <c r="P27" s="54"/>
      <c r="Q27" s="54"/>
      <c r="R27" s="54"/>
      <c r="S27" s="54"/>
      <c r="T27" s="54"/>
      <c r="U27" s="54"/>
      <c r="V27" s="54"/>
      <c r="W27" s="54"/>
      <c r="X27" s="54"/>
      <c r="Y27" s="54"/>
      <c r="Z27" s="55"/>
    </row>
    <row r="28" ht="15.75" customHeight="1">
      <c r="A28" s="53"/>
      <c r="B28" s="56">
        <v>0.9772</v>
      </c>
      <c r="C28" s="54"/>
      <c r="D28" s="54"/>
      <c r="E28" s="54"/>
      <c r="F28" s="54"/>
      <c r="G28" s="54"/>
      <c r="H28" s="54"/>
      <c r="I28" s="54"/>
      <c r="J28" s="54"/>
      <c r="K28" s="54"/>
      <c r="L28" s="54"/>
      <c r="M28" s="54"/>
      <c r="N28" s="54"/>
      <c r="O28" s="54"/>
      <c r="P28" s="54"/>
      <c r="Q28" s="54"/>
      <c r="R28" s="54"/>
      <c r="S28" s="54"/>
      <c r="T28" s="54"/>
      <c r="U28" s="54"/>
      <c r="V28" s="54"/>
      <c r="W28" s="54"/>
      <c r="X28" s="54"/>
      <c r="Y28" s="54"/>
      <c r="Z28" s="55"/>
    </row>
    <row r="29" ht="15.75" customHeight="1">
      <c r="A29" s="53"/>
      <c r="B29" s="56">
        <v>0.0326</v>
      </c>
      <c r="C29" s="54"/>
      <c r="D29" s="54"/>
      <c r="E29" s="54"/>
      <c r="F29" s="54"/>
      <c r="G29" s="54"/>
      <c r="H29" s="54"/>
      <c r="I29" s="54"/>
      <c r="J29" s="54"/>
      <c r="K29" s="54"/>
      <c r="L29" s="54"/>
      <c r="M29" s="54"/>
      <c r="N29" s="54"/>
      <c r="O29" s="54"/>
      <c r="P29" s="54"/>
      <c r="Q29" s="54"/>
      <c r="R29" s="54"/>
      <c r="S29" s="54"/>
      <c r="T29" s="54"/>
      <c r="U29" s="54"/>
      <c r="V29" s="54"/>
      <c r="W29" s="54"/>
      <c r="X29" s="54"/>
      <c r="Y29" s="54"/>
      <c r="Z29" s="55"/>
    </row>
    <row r="30" ht="15.75" customHeight="1">
      <c r="A30" s="53"/>
      <c r="B30" s="56">
        <v>0.569</v>
      </c>
      <c r="C30" s="54"/>
      <c r="D30" s="54"/>
      <c r="E30" s="54"/>
      <c r="F30" s="54"/>
      <c r="G30" s="54"/>
      <c r="H30" s="54"/>
      <c r="I30" s="54"/>
      <c r="J30" s="54"/>
      <c r="K30" s="54"/>
      <c r="L30" s="54"/>
      <c r="M30" s="54"/>
      <c r="N30" s="54"/>
      <c r="O30" s="54"/>
      <c r="P30" s="54"/>
      <c r="Q30" s="54"/>
      <c r="R30" s="54"/>
      <c r="S30" s="54"/>
      <c r="T30" s="54"/>
      <c r="U30" s="54"/>
      <c r="V30" s="54"/>
      <c r="W30" s="54"/>
      <c r="X30" s="54"/>
      <c r="Y30" s="54"/>
      <c r="Z30" s="55"/>
    </row>
    <row r="31" ht="15.75" customHeight="1">
      <c r="A31" s="53"/>
      <c r="B31" s="56">
        <v>0.3859</v>
      </c>
      <c r="C31" s="54"/>
      <c r="D31" s="54"/>
      <c r="E31" s="54"/>
      <c r="F31" s="54"/>
      <c r="G31" s="54"/>
      <c r="H31" s="54"/>
      <c r="I31" s="54"/>
      <c r="J31" s="54"/>
      <c r="K31" s="54"/>
      <c r="L31" s="54"/>
      <c r="M31" s="54"/>
      <c r="N31" s="54"/>
      <c r="O31" s="54"/>
      <c r="P31" s="54"/>
      <c r="Q31" s="54"/>
      <c r="R31" s="54"/>
      <c r="S31" s="54"/>
      <c r="T31" s="54"/>
      <c r="U31" s="54"/>
      <c r="V31" s="54"/>
      <c r="W31" s="54"/>
      <c r="X31" s="54"/>
      <c r="Y31" s="54"/>
      <c r="Z31" s="55"/>
    </row>
    <row r="32" ht="15.75" customHeight="1">
      <c r="A32" s="53"/>
      <c r="B32" s="56">
        <v>0.5733</v>
      </c>
      <c r="C32" s="54"/>
      <c r="D32" s="54"/>
      <c r="E32" s="54"/>
      <c r="F32" s="54"/>
      <c r="G32" s="54"/>
      <c r="H32" s="54"/>
      <c r="I32" s="54"/>
      <c r="J32" s="54"/>
      <c r="K32" s="54"/>
      <c r="L32" s="54"/>
      <c r="M32" s="54"/>
      <c r="N32" s="54"/>
      <c r="O32" s="54"/>
      <c r="P32" s="54"/>
      <c r="Q32" s="54"/>
      <c r="R32" s="54"/>
      <c r="S32" s="54"/>
      <c r="T32" s="54"/>
      <c r="U32" s="54"/>
      <c r="V32" s="54"/>
      <c r="W32" s="54"/>
      <c r="X32" s="54"/>
      <c r="Y32" s="54"/>
      <c r="Z32" s="55"/>
    </row>
    <row r="33" ht="15.75" customHeight="1">
      <c r="A33" s="53"/>
      <c r="B33" s="56">
        <v>0.5929</v>
      </c>
      <c r="C33" s="54"/>
      <c r="D33" s="54"/>
      <c r="E33" s="54"/>
      <c r="F33" s="54"/>
      <c r="G33" s="54"/>
      <c r="H33" s="54"/>
      <c r="I33" s="54"/>
      <c r="J33" s="54"/>
      <c r="K33" s="54"/>
      <c r="L33" s="54"/>
      <c r="M33" s="54"/>
      <c r="N33" s="54"/>
      <c r="O33" s="54"/>
      <c r="P33" s="54"/>
      <c r="Q33" s="54"/>
      <c r="R33" s="54"/>
      <c r="S33" s="54"/>
      <c r="T33" s="54"/>
      <c r="U33" s="54"/>
      <c r="V33" s="54"/>
      <c r="W33" s="54"/>
      <c r="X33" s="54"/>
      <c r="Y33" s="54"/>
      <c r="Z33" s="55"/>
    </row>
    <row r="34" ht="15.75" customHeight="1">
      <c r="A34" s="53"/>
      <c r="B34" s="56">
        <v>0.5362</v>
      </c>
      <c r="C34" s="54"/>
      <c r="D34" s="54"/>
      <c r="E34" s="54"/>
      <c r="F34" s="54"/>
      <c r="G34" s="54"/>
      <c r="H34" s="54"/>
      <c r="I34" s="54"/>
      <c r="J34" s="54"/>
      <c r="K34" s="54"/>
      <c r="L34" s="54"/>
      <c r="M34" s="54"/>
      <c r="N34" s="54"/>
      <c r="O34" s="54"/>
      <c r="P34" s="54"/>
      <c r="Q34" s="54"/>
      <c r="R34" s="54"/>
      <c r="S34" s="54"/>
      <c r="T34" s="54"/>
      <c r="U34" s="54"/>
      <c r="V34" s="54"/>
      <c r="W34" s="54"/>
      <c r="X34" s="54"/>
      <c r="Y34" s="54"/>
      <c r="Z34" s="55"/>
    </row>
    <row r="35" ht="15.75" customHeight="1">
      <c r="A35" s="53"/>
      <c r="B35" s="56">
        <v>0.8073</v>
      </c>
      <c r="C35" s="54"/>
      <c r="D35" s="54"/>
      <c r="E35" s="54"/>
      <c r="F35" s="54"/>
      <c r="G35" s="54"/>
      <c r="H35" s="54"/>
      <c r="I35" s="54"/>
      <c r="J35" s="54"/>
      <c r="K35" s="54"/>
      <c r="L35" s="54"/>
      <c r="M35" s="54"/>
      <c r="N35" s="54"/>
      <c r="O35" s="54"/>
      <c r="P35" s="54"/>
      <c r="Q35" s="54"/>
      <c r="R35" s="54"/>
      <c r="S35" s="54"/>
      <c r="T35" s="54"/>
      <c r="U35" s="54"/>
      <c r="V35" s="54"/>
      <c r="W35" s="54"/>
      <c r="X35" s="54"/>
      <c r="Y35" s="54"/>
      <c r="Z35" s="55"/>
    </row>
    <row r="36" ht="15.75" customHeight="1">
      <c r="A36" s="53"/>
      <c r="B36" s="56">
        <v>0.8553</v>
      </c>
      <c r="C36" s="54"/>
      <c r="D36" s="54"/>
      <c r="E36" s="54"/>
      <c r="F36" s="54"/>
      <c r="G36" s="54"/>
      <c r="H36" s="54"/>
      <c r="I36" s="54"/>
      <c r="J36" s="54"/>
      <c r="K36" s="54"/>
      <c r="L36" s="54"/>
      <c r="M36" s="54"/>
      <c r="N36" s="54"/>
      <c r="O36" s="54"/>
      <c r="P36" s="54"/>
      <c r="Q36" s="54"/>
      <c r="R36" s="54"/>
      <c r="S36" s="54"/>
      <c r="T36" s="54"/>
      <c r="U36" s="54"/>
      <c r="V36" s="54"/>
      <c r="W36" s="54"/>
      <c r="X36" s="54"/>
      <c r="Y36" s="54"/>
      <c r="Z36" s="55"/>
    </row>
    <row r="37" ht="15.75" customHeight="1">
      <c r="A37" s="53"/>
      <c r="B37" s="56">
        <v>0.1655</v>
      </c>
      <c r="C37" s="54"/>
      <c r="D37" s="54"/>
      <c r="E37" s="54"/>
      <c r="F37" s="54"/>
      <c r="G37" s="54"/>
      <c r="H37" s="54"/>
      <c r="I37" s="54"/>
      <c r="J37" s="54"/>
      <c r="K37" s="54"/>
      <c r="L37" s="54"/>
      <c r="M37" s="54"/>
      <c r="N37" s="54"/>
      <c r="O37" s="54"/>
      <c r="P37" s="54"/>
      <c r="Q37" s="54"/>
      <c r="R37" s="54"/>
      <c r="S37" s="54"/>
      <c r="T37" s="54"/>
      <c r="U37" s="54"/>
      <c r="V37" s="54"/>
      <c r="W37" s="54"/>
      <c r="X37" s="54"/>
      <c r="Y37" s="54"/>
      <c r="Z37" s="55"/>
    </row>
    <row r="38" ht="15.75" customHeight="1">
      <c r="A38" s="53"/>
      <c r="B38" s="56">
        <v>0.9655</v>
      </c>
      <c r="C38" s="54"/>
      <c r="D38" s="54"/>
      <c r="E38" s="54"/>
      <c r="F38" s="54"/>
      <c r="G38" s="54"/>
      <c r="H38" s="54"/>
      <c r="I38" s="54"/>
      <c r="J38" s="54"/>
      <c r="K38" s="54"/>
      <c r="L38" s="54"/>
      <c r="M38" s="54"/>
      <c r="N38" s="54"/>
      <c r="O38" s="54"/>
      <c r="P38" s="54"/>
      <c r="Q38" s="54"/>
      <c r="R38" s="54"/>
      <c r="S38" s="54"/>
      <c r="T38" s="54"/>
      <c r="U38" s="54"/>
      <c r="V38" s="54"/>
      <c r="W38" s="54"/>
      <c r="X38" s="54"/>
      <c r="Y38" s="54"/>
      <c r="Z38" s="55"/>
    </row>
    <row r="39" ht="15.75" customHeight="1">
      <c r="A39" s="53"/>
      <c r="B39" s="56">
        <v>0.4695</v>
      </c>
      <c r="C39" s="54"/>
      <c r="D39" s="54"/>
      <c r="E39" s="54"/>
      <c r="F39" s="54"/>
      <c r="G39" s="54"/>
      <c r="H39" s="54"/>
      <c r="I39" s="54"/>
      <c r="J39" s="54"/>
      <c r="K39" s="54"/>
      <c r="L39" s="54"/>
      <c r="M39" s="54"/>
      <c r="N39" s="54"/>
      <c r="O39" s="54"/>
      <c r="P39" s="54"/>
      <c r="Q39" s="54"/>
      <c r="R39" s="54"/>
      <c r="S39" s="54"/>
      <c r="T39" s="54"/>
      <c r="U39" s="54"/>
      <c r="V39" s="54"/>
      <c r="W39" s="54"/>
      <c r="X39" s="54"/>
      <c r="Y39" s="54"/>
      <c r="Z39" s="55"/>
    </row>
    <row r="40" ht="15.75" customHeight="1">
      <c r="A40" s="53"/>
      <c r="B40" s="56">
        <v>0.597</v>
      </c>
      <c r="C40" s="54"/>
      <c r="D40" s="54"/>
      <c r="E40" s="54"/>
      <c r="F40" s="54"/>
      <c r="G40" s="54"/>
      <c r="H40" s="54"/>
      <c r="I40" s="54"/>
      <c r="J40" s="54"/>
      <c r="K40" s="54"/>
      <c r="L40" s="54"/>
      <c r="M40" s="54"/>
      <c r="N40" s="54"/>
      <c r="O40" s="54"/>
      <c r="P40" s="54"/>
      <c r="Q40" s="54"/>
      <c r="R40" s="54"/>
      <c r="S40" s="54"/>
      <c r="T40" s="54"/>
      <c r="U40" s="54"/>
      <c r="V40" s="54"/>
      <c r="W40" s="54"/>
      <c r="X40" s="54"/>
      <c r="Y40" s="54"/>
      <c r="Z40" s="55"/>
    </row>
    <row r="41" ht="15.75" customHeight="1">
      <c r="A41" s="53"/>
      <c r="B41" s="56">
        <v>0.7336</v>
      </c>
      <c r="C41" s="54"/>
      <c r="D41" s="54"/>
      <c r="E41" s="54"/>
      <c r="F41" s="54"/>
      <c r="G41" s="54"/>
      <c r="H41" s="54"/>
      <c r="I41" s="54"/>
      <c r="J41" s="54"/>
      <c r="K41" s="54"/>
      <c r="L41" s="54"/>
      <c r="M41" s="54"/>
      <c r="N41" s="54"/>
      <c r="O41" s="54"/>
      <c r="P41" s="54"/>
      <c r="Q41" s="54"/>
      <c r="R41" s="54"/>
      <c r="S41" s="54"/>
      <c r="T41" s="54"/>
      <c r="U41" s="54"/>
      <c r="V41" s="54"/>
      <c r="W41" s="54"/>
      <c r="X41" s="54"/>
      <c r="Y41" s="54"/>
      <c r="Z41" s="55"/>
    </row>
    <row r="42" ht="15.75" customHeight="1">
      <c r="A42" s="53"/>
      <c r="B42" s="56">
        <v>0.3081</v>
      </c>
      <c r="C42" s="54"/>
      <c r="D42" s="54"/>
      <c r="E42" s="54"/>
      <c r="F42" s="54"/>
      <c r="G42" s="54"/>
      <c r="H42" s="54"/>
      <c r="I42" s="54"/>
      <c r="J42" s="54"/>
      <c r="K42" s="54"/>
      <c r="L42" s="54"/>
      <c r="M42" s="54"/>
      <c r="N42" s="54"/>
      <c r="O42" s="54"/>
      <c r="P42" s="54"/>
      <c r="Q42" s="54"/>
      <c r="R42" s="54"/>
      <c r="S42" s="54"/>
      <c r="T42" s="54"/>
      <c r="U42" s="54"/>
      <c r="V42" s="54"/>
      <c r="W42" s="54"/>
      <c r="X42" s="54"/>
      <c r="Y42" s="54"/>
      <c r="Z42" s="55"/>
    </row>
    <row r="43" ht="15.75" customHeight="1">
      <c r="A43" s="53"/>
      <c r="B43" s="56">
        <v>0.8288</v>
      </c>
      <c r="C43" s="54"/>
      <c r="D43" s="54"/>
      <c r="E43" s="54"/>
      <c r="F43" s="54"/>
      <c r="G43" s="54"/>
      <c r="H43" s="54"/>
      <c r="I43" s="54"/>
      <c r="J43" s="54"/>
      <c r="K43" s="54"/>
      <c r="L43" s="54"/>
      <c r="M43" s="54"/>
      <c r="N43" s="54"/>
      <c r="O43" s="54"/>
      <c r="P43" s="54"/>
      <c r="Q43" s="54"/>
      <c r="R43" s="54"/>
      <c r="S43" s="54"/>
      <c r="T43" s="54"/>
      <c r="U43" s="54"/>
      <c r="V43" s="54"/>
      <c r="W43" s="54"/>
      <c r="X43" s="54"/>
      <c r="Y43" s="54"/>
      <c r="Z43" s="55"/>
    </row>
    <row r="44" ht="15.75" customHeight="1">
      <c r="A44" s="53"/>
      <c r="B44" s="56">
        <v>0.8901</v>
      </c>
      <c r="C44" s="54"/>
      <c r="D44" s="54"/>
      <c r="E44" s="54"/>
      <c r="F44" s="54"/>
      <c r="G44" s="54"/>
      <c r="H44" s="54"/>
      <c r="I44" s="54"/>
      <c r="J44" s="54"/>
      <c r="K44" s="54"/>
      <c r="L44" s="54"/>
      <c r="M44" s="54"/>
      <c r="N44" s="54"/>
      <c r="O44" s="54"/>
      <c r="P44" s="54"/>
      <c r="Q44" s="54"/>
      <c r="R44" s="54"/>
      <c r="S44" s="54"/>
      <c r="T44" s="54"/>
      <c r="U44" s="54"/>
      <c r="V44" s="54"/>
      <c r="W44" s="54"/>
      <c r="X44" s="54"/>
      <c r="Y44" s="54"/>
      <c r="Z44" s="55"/>
    </row>
    <row r="45" ht="15.75" customHeight="1">
      <c r="A45" s="53"/>
      <c r="B45" s="56">
        <v>0.8405</v>
      </c>
      <c r="C45" s="54"/>
      <c r="D45" s="54"/>
      <c r="E45" s="54"/>
      <c r="F45" s="54"/>
      <c r="G45" s="54"/>
      <c r="H45" s="54"/>
      <c r="I45" s="54"/>
      <c r="J45" s="54"/>
      <c r="K45" s="54"/>
      <c r="L45" s="54"/>
      <c r="M45" s="54"/>
      <c r="N45" s="54"/>
      <c r="O45" s="54"/>
      <c r="P45" s="54"/>
      <c r="Q45" s="54"/>
      <c r="R45" s="54"/>
      <c r="S45" s="54"/>
      <c r="T45" s="54"/>
      <c r="U45" s="54"/>
      <c r="V45" s="54"/>
      <c r="W45" s="54"/>
      <c r="X45" s="54"/>
      <c r="Y45" s="54"/>
      <c r="Z45" s="55"/>
    </row>
    <row r="46" ht="15.75" customHeight="1">
      <c r="A46" s="53"/>
      <c r="B46" s="56">
        <v>0.4532</v>
      </c>
      <c r="C46" s="54"/>
      <c r="D46" s="54"/>
      <c r="E46" s="54"/>
      <c r="F46" s="54"/>
      <c r="G46" s="54"/>
      <c r="H46" s="54"/>
      <c r="I46" s="54"/>
      <c r="J46" s="54"/>
      <c r="K46" s="54"/>
      <c r="L46" s="54"/>
      <c r="M46" s="54"/>
      <c r="N46" s="54"/>
      <c r="O46" s="54"/>
      <c r="P46" s="54"/>
      <c r="Q46" s="54"/>
      <c r="R46" s="54"/>
      <c r="S46" s="54"/>
      <c r="T46" s="54"/>
      <c r="U46" s="54"/>
      <c r="V46" s="54"/>
      <c r="W46" s="54"/>
      <c r="X46" s="54"/>
      <c r="Y46" s="54"/>
      <c r="Z46" s="55"/>
    </row>
    <row r="47" ht="15.75" customHeight="1">
      <c r="A47" s="53"/>
      <c r="B47" s="56">
        <v>0.8125</v>
      </c>
      <c r="C47" s="54"/>
      <c r="D47" s="54"/>
      <c r="E47" s="54"/>
      <c r="F47" s="54"/>
      <c r="G47" s="54"/>
      <c r="H47" s="54"/>
      <c r="I47" s="54"/>
      <c r="J47" s="54"/>
      <c r="K47" s="54"/>
      <c r="L47" s="54"/>
      <c r="M47" s="54"/>
      <c r="N47" s="54"/>
      <c r="O47" s="54"/>
      <c r="P47" s="54"/>
      <c r="Q47" s="54"/>
      <c r="R47" s="54"/>
      <c r="S47" s="54"/>
      <c r="T47" s="54"/>
      <c r="U47" s="54"/>
      <c r="V47" s="54"/>
      <c r="W47" s="54"/>
      <c r="X47" s="54"/>
      <c r="Y47" s="54"/>
      <c r="Z47" s="55"/>
    </row>
    <row r="48" ht="15.75" customHeight="1">
      <c r="A48" s="53"/>
      <c r="B48" s="56">
        <v>0.1056</v>
      </c>
      <c r="C48" s="54"/>
      <c r="D48" s="54"/>
      <c r="E48" s="54"/>
      <c r="F48" s="54"/>
      <c r="G48" s="54"/>
      <c r="H48" s="54"/>
      <c r="I48" s="54"/>
      <c r="J48" s="54"/>
      <c r="K48" s="54"/>
      <c r="L48" s="54"/>
      <c r="M48" s="54"/>
      <c r="N48" s="54"/>
      <c r="O48" s="54"/>
      <c r="P48" s="54"/>
      <c r="Q48" s="54"/>
      <c r="R48" s="54"/>
      <c r="S48" s="54"/>
      <c r="T48" s="54"/>
      <c r="U48" s="54"/>
      <c r="V48" s="54"/>
      <c r="W48" s="54"/>
      <c r="X48" s="54"/>
      <c r="Y48" s="54"/>
      <c r="Z48" s="55"/>
    </row>
    <row r="49" ht="15.75" customHeight="1">
      <c r="A49" s="53"/>
      <c r="B49" s="56">
        <v>0.0825</v>
      </c>
      <c r="C49" s="54"/>
      <c r="D49" s="54"/>
      <c r="E49" s="54"/>
      <c r="F49" s="54"/>
      <c r="G49" s="54"/>
      <c r="H49" s="54"/>
      <c r="I49" s="54"/>
      <c r="J49" s="54"/>
      <c r="K49" s="54"/>
      <c r="L49" s="54"/>
      <c r="M49" s="54"/>
      <c r="N49" s="54"/>
      <c r="O49" s="54"/>
      <c r="P49" s="54"/>
      <c r="Q49" s="54"/>
      <c r="R49" s="54"/>
      <c r="S49" s="54"/>
      <c r="T49" s="54"/>
      <c r="U49" s="54"/>
      <c r="V49" s="54"/>
      <c r="W49" s="54"/>
      <c r="X49" s="54"/>
      <c r="Y49" s="54"/>
      <c r="Z49" s="55"/>
    </row>
    <row r="50" ht="15.75" customHeight="1">
      <c r="A50" s="53"/>
      <c r="B50" s="56">
        <v>0.9707</v>
      </c>
      <c r="C50" s="54"/>
      <c r="D50" s="54"/>
      <c r="E50" s="54"/>
      <c r="F50" s="54"/>
      <c r="G50" s="54"/>
      <c r="H50" s="54"/>
      <c r="I50" s="54"/>
      <c r="J50" s="54"/>
      <c r="K50" s="54"/>
      <c r="L50" s="54"/>
      <c r="M50" s="54"/>
      <c r="N50" s="54"/>
      <c r="O50" s="54"/>
      <c r="P50" s="54"/>
      <c r="Q50" s="54"/>
      <c r="R50" s="54"/>
      <c r="S50" s="54"/>
      <c r="T50" s="54"/>
      <c r="U50" s="54"/>
      <c r="V50" s="54"/>
      <c r="W50" s="54"/>
      <c r="X50" s="54"/>
      <c r="Y50" s="54"/>
      <c r="Z50" s="55"/>
    </row>
    <row r="51" ht="15.75" customHeight="1">
      <c r="A51" s="53"/>
      <c r="B51" s="56">
        <v>0.7197</v>
      </c>
      <c r="C51" s="54"/>
      <c r="D51" s="54"/>
      <c r="E51" s="54"/>
      <c r="F51" s="54"/>
      <c r="G51" s="54"/>
      <c r="H51" s="54"/>
      <c r="I51" s="54"/>
      <c r="J51" s="54"/>
      <c r="K51" s="54"/>
      <c r="L51" s="54"/>
      <c r="M51" s="54"/>
      <c r="N51" s="54"/>
      <c r="O51" s="54"/>
      <c r="P51" s="54"/>
      <c r="Q51" s="54"/>
      <c r="R51" s="54"/>
      <c r="S51" s="54"/>
      <c r="T51" s="54"/>
      <c r="U51" s="54"/>
      <c r="V51" s="54"/>
      <c r="W51" s="54"/>
      <c r="X51" s="54"/>
      <c r="Y51" s="54"/>
      <c r="Z51" s="55"/>
    </row>
    <row r="52" ht="15.75" customHeight="1">
      <c r="A52" s="53"/>
      <c r="B52" s="56">
        <v>0.6391</v>
      </c>
      <c r="C52" s="54"/>
      <c r="D52" s="54"/>
      <c r="E52" s="54"/>
      <c r="F52" s="54"/>
      <c r="G52" s="54"/>
      <c r="H52" s="54"/>
      <c r="I52" s="54"/>
      <c r="J52" s="54"/>
      <c r="K52" s="54"/>
      <c r="L52" s="54"/>
      <c r="M52" s="54"/>
      <c r="N52" s="54"/>
      <c r="O52" s="54"/>
      <c r="P52" s="54"/>
      <c r="Q52" s="54"/>
      <c r="R52" s="54"/>
      <c r="S52" s="54"/>
      <c r="T52" s="54"/>
      <c r="U52" s="54"/>
      <c r="V52" s="54"/>
      <c r="W52" s="54"/>
      <c r="X52" s="54"/>
      <c r="Y52" s="54"/>
      <c r="Z52" s="55"/>
    </row>
    <row r="53" ht="15.75" customHeight="1">
      <c r="A53" s="53"/>
      <c r="B53" s="56">
        <v>0.7598</v>
      </c>
      <c r="C53" s="54"/>
      <c r="D53" s="54"/>
      <c r="E53" s="54"/>
      <c r="F53" s="54"/>
      <c r="G53" s="54"/>
      <c r="H53" s="54"/>
      <c r="I53" s="54"/>
      <c r="J53" s="54"/>
      <c r="K53" s="54"/>
      <c r="L53" s="54"/>
      <c r="M53" s="54"/>
      <c r="N53" s="54"/>
      <c r="O53" s="54"/>
      <c r="P53" s="54"/>
      <c r="Q53" s="54"/>
      <c r="R53" s="54"/>
      <c r="S53" s="54"/>
      <c r="T53" s="54"/>
      <c r="U53" s="54"/>
      <c r="V53" s="54"/>
      <c r="W53" s="54"/>
      <c r="X53" s="54"/>
      <c r="Y53" s="54"/>
      <c r="Z53" s="55"/>
    </row>
    <row r="54" ht="15.75" customHeight="1">
      <c r="A54" s="53"/>
      <c r="B54" s="56">
        <v>0.5691</v>
      </c>
      <c r="C54" s="54"/>
      <c r="D54" s="54"/>
      <c r="E54" s="54"/>
      <c r="F54" s="54"/>
      <c r="G54" s="54"/>
      <c r="H54" s="54"/>
      <c r="I54" s="54"/>
      <c r="J54" s="54"/>
      <c r="K54" s="54"/>
      <c r="L54" s="54"/>
      <c r="M54" s="54"/>
      <c r="N54" s="54"/>
      <c r="O54" s="54"/>
      <c r="P54" s="54"/>
      <c r="Q54" s="54"/>
      <c r="R54" s="54"/>
      <c r="S54" s="54"/>
      <c r="T54" s="54"/>
      <c r="U54" s="54"/>
      <c r="V54" s="54"/>
      <c r="W54" s="54"/>
      <c r="X54" s="54"/>
      <c r="Y54" s="54"/>
      <c r="Z54" s="55"/>
    </row>
    <row r="55" ht="15.75" customHeight="1">
      <c r="A55" s="53"/>
      <c r="B55" s="56">
        <v>0.3907</v>
      </c>
      <c r="C55" s="54"/>
      <c r="D55" s="54"/>
      <c r="E55" s="54"/>
      <c r="F55" s="54"/>
      <c r="G55" s="54"/>
      <c r="H55" s="54"/>
      <c r="I55" s="54"/>
      <c r="J55" s="54"/>
      <c r="K55" s="54"/>
      <c r="L55" s="54"/>
      <c r="M55" s="54"/>
      <c r="N55" s="54"/>
      <c r="O55" s="54"/>
      <c r="P55" s="54"/>
      <c r="Q55" s="54"/>
      <c r="R55" s="54"/>
      <c r="S55" s="54"/>
      <c r="T55" s="54"/>
      <c r="U55" s="54"/>
      <c r="V55" s="54"/>
      <c r="W55" s="54"/>
      <c r="X55" s="54"/>
      <c r="Y55" s="54"/>
      <c r="Z55" s="55"/>
    </row>
    <row r="56" ht="15.75" customHeight="1">
      <c r="A56" s="53"/>
      <c r="B56" s="56">
        <v>0.8043</v>
      </c>
      <c r="C56" s="54"/>
      <c r="D56" s="54"/>
      <c r="E56" s="54"/>
      <c r="F56" s="54"/>
      <c r="G56" s="54"/>
      <c r="H56" s="54"/>
      <c r="I56" s="54"/>
      <c r="J56" s="54"/>
      <c r="K56" s="54"/>
      <c r="L56" s="54"/>
      <c r="M56" s="54"/>
      <c r="N56" s="54"/>
      <c r="O56" s="54"/>
      <c r="P56" s="54"/>
      <c r="Q56" s="54"/>
      <c r="R56" s="54"/>
      <c r="S56" s="54"/>
      <c r="T56" s="54"/>
      <c r="U56" s="54"/>
      <c r="V56" s="54"/>
      <c r="W56" s="54"/>
      <c r="X56" s="54"/>
      <c r="Y56" s="54"/>
      <c r="Z56" s="55"/>
    </row>
    <row r="57" ht="15.75" customHeight="1">
      <c r="A57" s="53"/>
      <c r="B57" s="56">
        <v>0.7109</v>
      </c>
      <c r="C57" s="54"/>
      <c r="D57" s="54"/>
      <c r="E57" s="54"/>
      <c r="F57" s="54"/>
      <c r="G57" s="54"/>
      <c r="H57" s="54"/>
      <c r="I57" s="54"/>
      <c r="J57" s="54"/>
      <c r="K57" s="54"/>
      <c r="L57" s="54"/>
      <c r="M57" s="54"/>
      <c r="N57" s="54"/>
      <c r="O57" s="54"/>
      <c r="P57" s="54"/>
      <c r="Q57" s="54"/>
      <c r="R57" s="54"/>
      <c r="S57" s="54"/>
      <c r="T57" s="54"/>
      <c r="U57" s="54"/>
      <c r="V57" s="54"/>
      <c r="W57" s="54"/>
      <c r="X57" s="54"/>
      <c r="Y57" s="54"/>
      <c r="Z57" s="55"/>
    </row>
    <row r="58" ht="15.75" customHeight="1">
      <c r="A58" s="53"/>
      <c r="B58" s="56">
        <v>0.2156</v>
      </c>
      <c r="C58" s="54"/>
      <c r="D58" s="54"/>
      <c r="E58" s="54"/>
      <c r="F58" s="54"/>
      <c r="G58" s="54"/>
      <c r="H58" s="54"/>
      <c r="I58" s="54"/>
      <c r="J58" s="54"/>
      <c r="K58" s="54"/>
      <c r="L58" s="54"/>
      <c r="M58" s="54"/>
      <c r="N58" s="54"/>
      <c r="O58" s="54"/>
      <c r="P58" s="54"/>
      <c r="Q58" s="54"/>
      <c r="R58" s="54"/>
      <c r="S58" s="54"/>
      <c r="T58" s="54"/>
      <c r="U58" s="54"/>
      <c r="V58" s="54"/>
      <c r="W58" s="54"/>
      <c r="X58" s="54"/>
      <c r="Y58" s="54"/>
      <c r="Z58" s="55"/>
    </row>
    <row r="59" ht="15.75" customHeight="1">
      <c r="A59" s="53"/>
      <c r="B59" s="56">
        <v>0.3768</v>
      </c>
      <c r="C59" s="54"/>
      <c r="D59" s="54"/>
      <c r="E59" s="54"/>
      <c r="F59" s="54"/>
      <c r="G59" s="54"/>
      <c r="H59" s="54"/>
      <c r="I59" s="54"/>
      <c r="J59" s="54"/>
      <c r="K59" s="54"/>
      <c r="L59" s="54"/>
      <c r="M59" s="54"/>
      <c r="N59" s="54"/>
      <c r="O59" s="54"/>
      <c r="P59" s="54"/>
      <c r="Q59" s="54"/>
      <c r="R59" s="54"/>
      <c r="S59" s="54"/>
      <c r="T59" s="54"/>
      <c r="U59" s="54"/>
      <c r="V59" s="54"/>
      <c r="W59" s="54"/>
      <c r="X59" s="54"/>
      <c r="Y59" s="54"/>
      <c r="Z59" s="55"/>
    </row>
    <row r="60" ht="15.75" customHeight="1">
      <c r="A60" s="53"/>
      <c r="B60" s="56">
        <v>0.1353</v>
      </c>
      <c r="C60" s="54"/>
      <c r="D60" s="54"/>
      <c r="E60" s="54"/>
      <c r="F60" s="54"/>
      <c r="G60" s="54"/>
      <c r="H60" s="54"/>
      <c r="I60" s="54"/>
      <c r="J60" s="54"/>
      <c r="K60" s="54"/>
      <c r="L60" s="54"/>
      <c r="M60" s="54"/>
      <c r="N60" s="54"/>
      <c r="O60" s="54"/>
      <c r="P60" s="54"/>
      <c r="Q60" s="54"/>
      <c r="R60" s="54"/>
      <c r="S60" s="54"/>
      <c r="T60" s="54"/>
      <c r="U60" s="54"/>
      <c r="V60" s="54"/>
      <c r="W60" s="54"/>
      <c r="X60" s="54"/>
      <c r="Y60" s="54"/>
      <c r="Z60" s="55"/>
    </row>
    <row r="61" ht="15.75" customHeight="1">
      <c r="A61" s="53"/>
      <c r="B61" s="56">
        <v>0.5119</v>
      </c>
      <c r="C61" s="54"/>
      <c r="D61" s="54"/>
      <c r="E61" s="54"/>
      <c r="F61" s="54"/>
      <c r="G61" s="54"/>
      <c r="H61" s="54"/>
      <c r="I61" s="54"/>
      <c r="J61" s="54"/>
      <c r="K61" s="54"/>
      <c r="L61" s="54"/>
      <c r="M61" s="54"/>
      <c r="N61" s="54"/>
      <c r="O61" s="54"/>
      <c r="P61" s="54"/>
      <c r="Q61" s="54"/>
      <c r="R61" s="54"/>
      <c r="S61" s="54"/>
      <c r="T61" s="54"/>
      <c r="U61" s="54"/>
      <c r="V61" s="54"/>
      <c r="W61" s="54"/>
      <c r="X61" s="54"/>
      <c r="Y61" s="54"/>
      <c r="Z61" s="55"/>
    </row>
    <row r="62" ht="15.75" customHeight="1">
      <c r="A62" s="53"/>
      <c r="B62" s="56">
        <v>0.6377</v>
      </c>
      <c r="C62" s="54"/>
      <c r="D62" s="54"/>
      <c r="E62" s="54"/>
      <c r="F62" s="54"/>
      <c r="G62" s="54"/>
      <c r="H62" s="54"/>
      <c r="I62" s="54"/>
      <c r="J62" s="54"/>
      <c r="K62" s="54"/>
      <c r="L62" s="54"/>
      <c r="M62" s="54"/>
      <c r="N62" s="54"/>
      <c r="O62" s="54"/>
      <c r="P62" s="54"/>
      <c r="Q62" s="54"/>
      <c r="R62" s="54"/>
      <c r="S62" s="54"/>
      <c r="T62" s="54"/>
      <c r="U62" s="54"/>
      <c r="V62" s="54"/>
      <c r="W62" s="54"/>
      <c r="X62" s="54"/>
      <c r="Y62" s="54"/>
      <c r="Z62" s="55"/>
    </row>
    <row r="63" ht="15.75" customHeight="1">
      <c r="A63" s="53"/>
      <c r="B63" s="56">
        <v>0.6925</v>
      </c>
      <c r="C63" s="54"/>
      <c r="D63" s="54"/>
      <c r="E63" s="54"/>
      <c r="F63" s="54"/>
      <c r="G63" s="54"/>
      <c r="H63" s="54"/>
      <c r="I63" s="54"/>
      <c r="J63" s="54"/>
      <c r="K63" s="54"/>
      <c r="L63" s="54"/>
      <c r="M63" s="54"/>
      <c r="N63" s="54"/>
      <c r="O63" s="54"/>
      <c r="P63" s="54"/>
      <c r="Q63" s="54"/>
      <c r="R63" s="54"/>
      <c r="S63" s="54"/>
      <c r="T63" s="54"/>
      <c r="U63" s="54"/>
      <c r="V63" s="54"/>
      <c r="W63" s="54"/>
      <c r="X63" s="54"/>
      <c r="Y63" s="54"/>
      <c r="Z63" s="55"/>
    </row>
    <row r="64" ht="15.75" customHeight="1">
      <c r="A64" s="53"/>
      <c r="B64" s="56">
        <v>0.33</v>
      </c>
      <c r="C64" s="54"/>
      <c r="D64" s="54"/>
      <c r="E64" s="54"/>
      <c r="F64" s="54"/>
      <c r="G64" s="54"/>
      <c r="H64" s="54"/>
      <c r="I64" s="54"/>
      <c r="J64" s="54"/>
      <c r="K64" s="54"/>
      <c r="L64" s="54"/>
      <c r="M64" s="54"/>
      <c r="N64" s="54"/>
      <c r="O64" s="54"/>
      <c r="P64" s="54"/>
      <c r="Q64" s="54"/>
      <c r="R64" s="54"/>
      <c r="S64" s="54"/>
      <c r="T64" s="54"/>
      <c r="U64" s="54"/>
      <c r="V64" s="54"/>
      <c r="W64" s="54"/>
      <c r="X64" s="54"/>
      <c r="Y64" s="54"/>
      <c r="Z64" s="55"/>
    </row>
    <row r="65" ht="15.75" customHeight="1">
      <c r="A65" s="53"/>
      <c r="B65" s="56">
        <v>0.8829</v>
      </c>
      <c r="C65" s="54"/>
      <c r="D65" s="54"/>
      <c r="E65" s="54"/>
      <c r="F65" s="54"/>
      <c r="G65" s="54"/>
      <c r="H65" s="54"/>
      <c r="I65" s="54"/>
      <c r="J65" s="54"/>
      <c r="K65" s="54"/>
      <c r="L65" s="54"/>
      <c r="M65" s="54"/>
      <c r="N65" s="54"/>
      <c r="O65" s="54"/>
      <c r="P65" s="54"/>
      <c r="Q65" s="54"/>
      <c r="R65" s="54"/>
      <c r="S65" s="54"/>
      <c r="T65" s="54"/>
      <c r="U65" s="54"/>
      <c r="V65" s="54"/>
      <c r="W65" s="54"/>
      <c r="X65" s="54"/>
      <c r="Y65" s="54"/>
      <c r="Z65" s="55"/>
    </row>
    <row r="66" ht="15.75" customHeight="1">
      <c r="A66" s="53"/>
      <c r="B66" s="56">
        <v>0.4939</v>
      </c>
      <c r="C66" s="54"/>
      <c r="D66" s="54"/>
      <c r="E66" s="54"/>
      <c r="F66" s="54"/>
      <c r="G66" s="54"/>
      <c r="H66" s="54"/>
      <c r="I66" s="54"/>
      <c r="J66" s="54"/>
      <c r="K66" s="54"/>
      <c r="L66" s="54"/>
      <c r="M66" s="54"/>
      <c r="N66" s="54"/>
      <c r="O66" s="54"/>
      <c r="P66" s="54"/>
      <c r="Q66" s="54"/>
      <c r="R66" s="54"/>
      <c r="S66" s="54"/>
      <c r="T66" s="54"/>
      <c r="U66" s="54"/>
      <c r="V66" s="54"/>
      <c r="W66" s="54"/>
      <c r="X66" s="54"/>
      <c r="Y66" s="54"/>
      <c r="Z66" s="55"/>
    </row>
    <row r="67" ht="15.75" customHeight="1">
      <c r="A67" s="53"/>
      <c r="B67" s="56">
        <v>0.7714</v>
      </c>
      <c r="C67" s="54"/>
      <c r="D67" s="54"/>
      <c r="E67" s="54"/>
      <c r="F67" s="54"/>
      <c r="G67" s="54"/>
      <c r="H67" s="54"/>
      <c r="I67" s="54"/>
      <c r="J67" s="54"/>
      <c r="K67" s="54"/>
      <c r="L67" s="54"/>
      <c r="M67" s="54"/>
      <c r="N67" s="54"/>
      <c r="O67" s="54"/>
      <c r="P67" s="54"/>
      <c r="Q67" s="54"/>
      <c r="R67" s="54"/>
      <c r="S67" s="54"/>
      <c r="T67" s="54"/>
      <c r="U67" s="54"/>
      <c r="V67" s="54"/>
      <c r="W67" s="54"/>
      <c r="X67" s="54"/>
      <c r="Y67" s="54"/>
      <c r="Z67" s="55"/>
    </row>
    <row r="68" ht="15.75" customHeight="1">
      <c r="A68" s="53"/>
      <c r="B68" s="56">
        <v>0.1274</v>
      </c>
      <c r="C68" s="54"/>
      <c r="D68" s="54"/>
      <c r="E68" s="54"/>
      <c r="F68" s="54"/>
      <c r="G68" s="54"/>
      <c r="H68" s="54"/>
      <c r="I68" s="54"/>
      <c r="J68" s="54"/>
      <c r="K68" s="54"/>
      <c r="L68" s="54"/>
      <c r="M68" s="54"/>
      <c r="N68" s="54"/>
      <c r="O68" s="54"/>
      <c r="P68" s="54"/>
      <c r="Q68" s="54"/>
      <c r="R68" s="54"/>
      <c r="S68" s="54"/>
      <c r="T68" s="54"/>
      <c r="U68" s="54"/>
      <c r="V68" s="54"/>
      <c r="W68" s="54"/>
      <c r="X68" s="54"/>
      <c r="Y68" s="54"/>
      <c r="Z68" s="55"/>
    </row>
    <row r="69" ht="15.75" customHeight="1">
      <c r="A69" s="53"/>
      <c r="B69" s="56">
        <v>0.1317</v>
      </c>
      <c r="C69" s="54"/>
      <c r="D69" s="54"/>
      <c r="E69" s="54"/>
      <c r="F69" s="54"/>
      <c r="G69" s="54"/>
      <c r="H69" s="54"/>
      <c r="I69" s="54"/>
      <c r="J69" s="54"/>
      <c r="K69" s="54"/>
      <c r="L69" s="54"/>
      <c r="M69" s="54"/>
      <c r="N69" s="54"/>
      <c r="O69" s="54"/>
      <c r="P69" s="54"/>
      <c r="Q69" s="54"/>
      <c r="R69" s="54"/>
      <c r="S69" s="54"/>
      <c r="T69" s="54"/>
      <c r="U69" s="54"/>
      <c r="V69" s="54"/>
      <c r="W69" s="54"/>
      <c r="X69" s="54"/>
      <c r="Y69" s="54"/>
      <c r="Z69" s="55"/>
    </row>
    <row r="70" ht="15.75" customHeight="1">
      <c r="A70" s="53"/>
      <c r="B70" s="56">
        <v>0.3387</v>
      </c>
      <c r="C70" s="54"/>
      <c r="D70" s="54"/>
      <c r="E70" s="54"/>
      <c r="F70" s="54"/>
      <c r="G70" s="54"/>
      <c r="H70" s="54"/>
      <c r="I70" s="54"/>
      <c r="J70" s="54"/>
      <c r="K70" s="54"/>
      <c r="L70" s="54"/>
      <c r="M70" s="54"/>
      <c r="N70" s="54"/>
      <c r="O70" s="54"/>
      <c r="P70" s="54"/>
      <c r="Q70" s="54"/>
      <c r="R70" s="54"/>
      <c r="S70" s="54"/>
      <c r="T70" s="54"/>
      <c r="U70" s="54"/>
      <c r="V70" s="54"/>
      <c r="W70" s="54"/>
      <c r="X70" s="54"/>
      <c r="Y70" s="54"/>
      <c r="Z70" s="55"/>
    </row>
    <row r="71" ht="15.75" customHeight="1">
      <c r="A71" s="53"/>
      <c r="B71" s="56">
        <v>0.3016</v>
      </c>
      <c r="C71" s="54"/>
      <c r="D71" s="54"/>
      <c r="E71" s="54"/>
      <c r="F71" s="54"/>
      <c r="G71" s="54"/>
      <c r="H71" s="54"/>
      <c r="I71" s="54"/>
      <c r="J71" s="54"/>
      <c r="K71" s="54"/>
      <c r="L71" s="54"/>
      <c r="M71" s="54"/>
      <c r="N71" s="54"/>
      <c r="O71" s="54"/>
      <c r="P71" s="54"/>
      <c r="Q71" s="54"/>
      <c r="R71" s="54"/>
      <c r="S71" s="54"/>
      <c r="T71" s="54"/>
      <c r="U71" s="54"/>
      <c r="V71" s="54"/>
      <c r="W71" s="54"/>
      <c r="X71" s="54"/>
      <c r="Y71" s="54"/>
      <c r="Z71" s="55"/>
    </row>
    <row r="72" ht="15.75" customHeight="1">
      <c r="A72" s="53"/>
      <c r="B72" s="56">
        <v>0.516</v>
      </c>
      <c r="C72" s="54"/>
      <c r="D72" s="54"/>
      <c r="E72" s="54"/>
      <c r="F72" s="54"/>
      <c r="G72" s="54"/>
      <c r="H72" s="54"/>
      <c r="I72" s="54"/>
      <c r="J72" s="54"/>
      <c r="K72" s="54"/>
      <c r="L72" s="54"/>
      <c r="M72" s="54"/>
      <c r="N72" s="54"/>
      <c r="O72" s="54"/>
      <c r="P72" s="54"/>
      <c r="Q72" s="54"/>
      <c r="R72" s="54"/>
      <c r="S72" s="54"/>
      <c r="T72" s="54"/>
      <c r="U72" s="54"/>
      <c r="V72" s="54"/>
      <c r="W72" s="54"/>
      <c r="X72" s="54"/>
      <c r="Y72" s="54"/>
      <c r="Z72" s="55"/>
    </row>
    <row r="73" ht="15.75" customHeight="1">
      <c r="A73" s="53"/>
      <c r="B73" s="56">
        <v>0.835</v>
      </c>
      <c r="C73" s="54"/>
      <c r="D73" s="54"/>
      <c r="E73" s="54"/>
      <c r="F73" s="54"/>
      <c r="G73" s="54"/>
      <c r="H73" s="54"/>
      <c r="I73" s="54"/>
      <c r="J73" s="54"/>
      <c r="K73" s="54"/>
      <c r="L73" s="54"/>
      <c r="M73" s="54"/>
      <c r="N73" s="54"/>
      <c r="O73" s="54"/>
      <c r="P73" s="54"/>
      <c r="Q73" s="54"/>
      <c r="R73" s="54"/>
      <c r="S73" s="54"/>
      <c r="T73" s="54"/>
      <c r="U73" s="54"/>
      <c r="V73" s="54"/>
      <c r="W73" s="54"/>
      <c r="X73" s="54"/>
      <c r="Y73" s="54"/>
      <c r="Z73" s="55"/>
    </row>
    <row r="74" ht="15.75" customHeight="1">
      <c r="A74" s="53"/>
      <c r="B74" s="56">
        <v>0.1885</v>
      </c>
      <c r="C74" s="54"/>
      <c r="D74" s="54"/>
      <c r="E74" s="54"/>
      <c r="F74" s="54"/>
      <c r="G74" s="54"/>
      <c r="H74" s="54"/>
      <c r="I74" s="54"/>
      <c r="J74" s="54"/>
      <c r="K74" s="54"/>
      <c r="L74" s="54"/>
      <c r="M74" s="54"/>
      <c r="N74" s="54"/>
      <c r="O74" s="54"/>
      <c r="P74" s="54"/>
      <c r="Q74" s="54"/>
      <c r="R74" s="54"/>
      <c r="S74" s="54"/>
      <c r="T74" s="54"/>
      <c r="U74" s="54"/>
      <c r="V74" s="54"/>
      <c r="W74" s="54"/>
      <c r="X74" s="54"/>
      <c r="Y74" s="54"/>
      <c r="Z74" s="55"/>
    </row>
    <row r="75" ht="15.75" customHeight="1">
      <c r="A75" s="53"/>
      <c r="B75" s="56">
        <v>0.0725</v>
      </c>
      <c r="C75" s="54"/>
      <c r="D75" s="54"/>
      <c r="E75" s="54"/>
      <c r="F75" s="54"/>
      <c r="G75" s="54"/>
      <c r="H75" s="54"/>
      <c r="I75" s="54"/>
      <c r="J75" s="54"/>
      <c r="K75" s="54"/>
      <c r="L75" s="54"/>
      <c r="M75" s="54"/>
      <c r="N75" s="54"/>
      <c r="O75" s="54"/>
      <c r="P75" s="54"/>
      <c r="Q75" s="54"/>
      <c r="R75" s="54"/>
      <c r="S75" s="54"/>
      <c r="T75" s="54"/>
      <c r="U75" s="54"/>
      <c r="V75" s="54"/>
      <c r="W75" s="54"/>
      <c r="X75" s="54"/>
      <c r="Y75" s="54"/>
      <c r="Z75" s="55"/>
    </row>
    <row r="76" ht="15.75" customHeight="1">
      <c r="A76" s="53"/>
      <c r="B76" s="56">
        <v>0.4894</v>
      </c>
      <c r="C76" s="54"/>
      <c r="D76" s="54"/>
      <c r="E76" s="54"/>
      <c r="F76" s="54"/>
      <c r="G76" s="54"/>
      <c r="H76" s="54"/>
      <c r="I76" s="54"/>
      <c r="J76" s="54"/>
      <c r="K76" s="54"/>
      <c r="L76" s="54"/>
      <c r="M76" s="54"/>
      <c r="N76" s="54"/>
      <c r="O76" s="54"/>
      <c r="P76" s="54"/>
      <c r="Q76" s="54"/>
      <c r="R76" s="54"/>
      <c r="S76" s="54"/>
      <c r="T76" s="54"/>
      <c r="U76" s="54"/>
      <c r="V76" s="54"/>
      <c r="W76" s="54"/>
      <c r="X76" s="54"/>
      <c r="Y76" s="54"/>
      <c r="Z76" s="55"/>
    </row>
    <row r="77" ht="15.75" customHeight="1">
      <c r="A77" s="53"/>
      <c r="B77" s="56">
        <v>0.5548</v>
      </c>
      <c r="C77" s="54"/>
      <c r="D77" s="54"/>
      <c r="E77" s="54"/>
      <c r="F77" s="54"/>
      <c r="G77" s="54"/>
      <c r="H77" s="54"/>
      <c r="I77" s="54"/>
      <c r="J77" s="54"/>
      <c r="K77" s="54"/>
      <c r="L77" s="54"/>
      <c r="M77" s="54"/>
      <c r="N77" s="54"/>
      <c r="O77" s="54"/>
      <c r="P77" s="54"/>
      <c r="Q77" s="54"/>
      <c r="R77" s="54"/>
      <c r="S77" s="54"/>
      <c r="T77" s="54"/>
      <c r="U77" s="54"/>
      <c r="V77" s="54"/>
      <c r="W77" s="54"/>
      <c r="X77" s="54"/>
      <c r="Y77" s="54"/>
      <c r="Z77" s="55"/>
    </row>
    <row r="78" ht="15.75" customHeight="1">
      <c r="A78" s="53"/>
      <c r="B78" s="56">
        <v>0.7025</v>
      </c>
      <c r="C78" s="54"/>
      <c r="D78" s="54"/>
      <c r="E78" s="54"/>
      <c r="F78" s="54"/>
      <c r="G78" s="54"/>
      <c r="H78" s="54"/>
      <c r="I78" s="54"/>
      <c r="J78" s="54"/>
      <c r="K78" s="54"/>
      <c r="L78" s="54"/>
      <c r="M78" s="54"/>
      <c r="N78" s="54"/>
      <c r="O78" s="54"/>
      <c r="P78" s="54"/>
      <c r="Q78" s="54"/>
      <c r="R78" s="54"/>
      <c r="S78" s="54"/>
      <c r="T78" s="54"/>
      <c r="U78" s="54"/>
      <c r="V78" s="54"/>
      <c r="W78" s="54"/>
      <c r="X78" s="54"/>
      <c r="Y78" s="54"/>
      <c r="Z78" s="55"/>
    </row>
    <row r="79" ht="15.75" customHeight="1">
      <c r="A79" s="53"/>
      <c r="B79" s="56">
        <v>0.8113</v>
      </c>
      <c r="C79" s="54"/>
      <c r="D79" s="54"/>
      <c r="E79" s="54"/>
      <c r="F79" s="54"/>
      <c r="G79" s="54"/>
      <c r="H79" s="54"/>
      <c r="I79" s="54"/>
      <c r="J79" s="54"/>
      <c r="K79" s="54"/>
      <c r="L79" s="54"/>
      <c r="M79" s="54"/>
      <c r="N79" s="54"/>
      <c r="O79" s="54"/>
      <c r="P79" s="54"/>
      <c r="Q79" s="54"/>
      <c r="R79" s="54"/>
      <c r="S79" s="54"/>
      <c r="T79" s="54"/>
      <c r="U79" s="54"/>
      <c r="V79" s="54"/>
      <c r="W79" s="54"/>
      <c r="X79" s="54"/>
      <c r="Y79" s="54"/>
      <c r="Z79" s="55"/>
    </row>
    <row r="80" ht="15.75" customHeight="1">
      <c r="A80" s="53"/>
      <c r="B80" s="56">
        <v>0.0478</v>
      </c>
      <c r="C80" s="54"/>
      <c r="D80" s="54"/>
      <c r="E80" s="54"/>
      <c r="F80" s="54"/>
      <c r="G80" s="54"/>
      <c r="H80" s="54"/>
      <c r="I80" s="54"/>
      <c r="J80" s="54"/>
      <c r="K80" s="54"/>
      <c r="L80" s="54"/>
      <c r="M80" s="54"/>
      <c r="N80" s="54"/>
      <c r="O80" s="54"/>
      <c r="P80" s="54"/>
      <c r="Q80" s="54"/>
      <c r="R80" s="54"/>
      <c r="S80" s="54"/>
      <c r="T80" s="54"/>
      <c r="U80" s="54"/>
      <c r="V80" s="54"/>
      <c r="W80" s="54"/>
      <c r="X80" s="54"/>
      <c r="Y80" s="54"/>
      <c r="Z80" s="55"/>
    </row>
    <row r="81" ht="15.75" customHeight="1">
      <c r="A81" s="53"/>
      <c r="B81" s="56">
        <v>0.3006</v>
      </c>
      <c r="C81" s="54"/>
      <c r="D81" s="54"/>
      <c r="E81" s="54"/>
      <c r="F81" s="54"/>
      <c r="G81" s="54"/>
      <c r="H81" s="54"/>
      <c r="I81" s="54"/>
      <c r="J81" s="54"/>
      <c r="K81" s="54"/>
      <c r="L81" s="54"/>
      <c r="M81" s="54"/>
      <c r="N81" s="54"/>
      <c r="O81" s="54"/>
      <c r="P81" s="54"/>
      <c r="Q81" s="54"/>
      <c r="R81" s="54"/>
      <c r="S81" s="54"/>
      <c r="T81" s="54"/>
      <c r="U81" s="54"/>
      <c r="V81" s="54"/>
      <c r="W81" s="54"/>
      <c r="X81" s="54"/>
      <c r="Y81" s="54"/>
      <c r="Z81" s="55"/>
    </row>
    <row r="82" ht="15.75" customHeight="1">
      <c r="A82" s="53"/>
      <c r="B82" s="56">
        <v>0.4678</v>
      </c>
      <c r="C82" s="54"/>
      <c r="D82" s="54"/>
      <c r="E82" s="54"/>
      <c r="F82" s="54"/>
      <c r="G82" s="54"/>
      <c r="H82" s="54"/>
      <c r="I82" s="54"/>
      <c r="J82" s="54"/>
      <c r="K82" s="54"/>
      <c r="L82" s="54"/>
      <c r="M82" s="54"/>
      <c r="N82" s="54"/>
      <c r="O82" s="54"/>
      <c r="P82" s="54"/>
      <c r="Q82" s="54"/>
      <c r="R82" s="54"/>
      <c r="S82" s="54"/>
      <c r="T82" s="54"/>
      <c r="U82" s="54"/>
      <c r="V82" s="54"/>
      <c r="W82" s="54"/>
      <c r="X82" s="54"/>
      <c r="Y82" s="54"/>
      <c r="Z82" s="55"/>
    </row>
    <row r="83" ht="15.75" customHeight="1">
      <c r="A83" s="53"/>
      <c r="B83" s="56">
        <v>0.5152</v>
      </c>
      <c r="C83" s="54"/>
      <c r="D83" s="54"/>
      <c r="E83" s="54"/>
      <c r="F83" s="54"/>
      <c r="G83" s="54"/>
      <c r="H83" s="54"/>
      <c r="I83" s="54"/>
      <c r="J83" s="54"/>
      <c r="K83" s="54"/>
      <c r="L83" s="54"/>
      <c r="M83" s="54"/>
      <c r="N83" s="54"/>
      <c r="O83" s="54"/>
      <c r="P83" s="54"/>
      <c r="Q83" s="54"/>
      <c r="R83" s="54"/>
      <c r="S83" s="54"/>
      <c r="T83" s="54"/>
      <c r="U83" s="54"/>
      <c r="V83" s="54"/>
      <c r="W83" s="54"/>
      <c r="X83" s="54"/>
      <c r="Y83" s="54"/>
      <c r="Z83" s="55"/>
    </row>
    <row r="84" ht="15.75" customHeight="1">
      <c r="A84" s="53"/>
      <c r="B84" s="56">
        <v>0.7965</v>
      </c>
      <c r="C84" s="54"/>
      <c r="D84" s="54"/>
      <c r="E84" s="54"/>
      <c r="F84" s="54"/>
      <c r="G84" s="54"/>
      <c r="H84" s="54"/>
      <c r="I84" s="54"/>
      <c r="J84" s="54"/>
      <c r="K84" s="54"/>
      <c r="L84" s="54"/>
      <c r="M84" s="54"/>
      <c r="N84" s="54"/>
      <c r="O84" s="54"/>
      <c r="P84" s="54"/>
      <c r="Q84" s="54"/>
      <c r="R84" s="54"/>
      <c r="S84" s="54"/>
      <c r="T84" s="54"/>
      <c r="U84" s="54"/>
      <c r="V84" s="54"/>
      <c r="W84" s="54"/>
      <c r="X84" s="54"/>
      <c r="Y84" s="54"/>
      <c r="Z84" s="55"/>
    </row>
    <row r="85" ht="15.75" customHeight="1">
      <c r="A85" s="53"/>
      <c r="B85" s="56">
        <v>0.3355</v>
      </c>
      <c r="C85" s="54"/>
      <c r="D85" s="54"/>
      <c r="E85" s="54"/>
      <c r="F85" s="54"/>
      <c r="G85" s="54"/>
      <c r="H85" s="54"/>
      <c r="I85" s="54"/>
      <c r="J85" s="54"/>
      <c r="K85" s="54"/>
      <c r="L85" s="54"/>
      <c r="M85" s="54"/>
      <c r="N85" s="54"/>
      <c r="O85" s="54"/>
      <c r="P85" s="54"/>
      <c r="Q85" s="54"/>
      <c r="R85" s="54"/>
      <c r="S85" s="54"/>
      <c r="T85" s="54"/>
      <c r="U85" s="54"/>
      <c r="V85" s="54"/>
      <c r="W85" s="54"/>
      <c r="X85" s="54"/>
      <c r="Y85" s="54"/>
      <c r="Z85" s="55"/>
    </row>
    <row r="86" ht="15.75" customHeight="1">
      <c r="A86" s="53"/>
      <c r="B86" s="56">
        <v>0.1476</v>
      </c>
      <c r="C86" s="54"/>
      <c r="D86" s="54"/>
      <c r="E86" s="54"/>
      <c r="F86" s="54"/>
      <c r="G86" s="54"/>
      <c r="H86" s="54"/>
      <c r="I86" s="54"/>
      <c r="J86" s="54"/>
      <c r="K86" s="54"/>
      <c r="L86" s="54"/>
      <c r="M86" s="54"/>
      <c r="N86" s="54"/>
      <c r="O86" s="54"/>
      <c r="P86" s="54"/>
      <c r="Q86" s="54"/>
      <c r="R86" s="54"/>
      <c r="S86" s="54"/>
      <c r="T86" s="54"/>
      <c r="U86" s="54"/>
      <c r="V86" s="54"/>
      <c r="W86" s="54"/>
      <c r="X86" s="54"/>
      <c r="Y86" s="54"/>
      <c r="Z86" s="55"/>
    </row>
    <row r="87" ht="15.75" customHeight="1">
      <c r="A87" s="53"/>
      <c r="B87" s="56">
        <v>0.1039</v>
      </c>
      <c r="C87" s="54"/>
      <c r="D87" s="54"/>
      <c r="E87" s="54"/>
      <c r="F87" s="54"/>
      <c r="G87" s="54"/>
      <c r="H87" s="54"/>
      <c r="I87" s="54"/>
      <c r="J87" s="54"/>
      <c r="K87" s="54"/>
      <c r="L87" s="54"/>
      <c r="M87" s="54"/>
      <c r="N87" s="54"/>
      <c r="O87" s="54"/>
      <c r="P87" s="54"/>
      <c r="Q87" s="54"/>
      <c r="R87" s="54"/>
      <c r="S87" s="54"/>
      <c r="T87" s="54"/>
      <c r="U87" s="54"/>
      <c r="V87" s="54"/>
      <c r="W87" s="54"/>
      <c r="X87" s="54"/>
      <c r="Y87" s="54"/>
      <c r="Z87" s="55"/>
    </row>
    <row r="88" ht="15.75" customHeight="1">
      <c r="A88" s="53"/>
      <c r="B88" s="56">
        <v>7.0E-4</v>
      </c>
      <c r="C88" s="54"/>
      <c r="D88" s="54"/>
      <c r="E88" s="54"/>
      <c r="F88" s="54"/>
      <c r="G88" s="54"/>
      <c r="H88" s="54"/>
      <c r="I88" s="54"/>
      <c r="J88" s="54"/>
      <c r="K88" s="54"/>
      <c r="L88" s="54"/>
      <c r="M88" s="54"/>
      <c r="N88" s="54"/>
      <c r="O88" s="54"/>
      <c r="P88" s="54"/>
      <c r="Q88" s="54"/>
      <c r="R88" s="54"/>
      <c r="S88" s="54"/>
      <c r="T88" s="54"/>
      <c r="U88" s="54"/>
      <c r="V88" s="54"/>
      <c r="W88" s="54"/>
      <c r="X88" s="54"/>
      <c r="Y88" s="54"/>
      <c r="Z88" s="55"/>
    </row>
    <row r="89" ht="15.75" customHeight="1">
      <c r="A89" s="53"/>
      <c r="B89" s="56">
        <v>0.0336</v>
      </c>
      <c r="C89" s="54"/>
      <c r="D89" s="54"/>
      <c r="E89" s="54"/>
      <c r="F89" s="54"/>
      <c r="G89" s="54"/>
      <c r="H89" s="54"/>
      <c r="I89" s="54"/>
      <c r="J89" s="54"/>
      <c r="K89" s="54"/>
      <c r="L89" s="54"/>
      <c r="M89" s="54"/>
      <c r="N89" s="54"/>
      <c r="O89" s="54"/>
      <c r="P89" s="54"/>
      <c r="Q89" s="54"/>
      <c r="R89" s="54"/>
      <c r="S89" s="54"/>
      <c r="T89" s="54"/>
      <c r="U89" s="54"/>
      <c r="V89" s="54"/>
      <c r="W89" s="54"/>
      <c r="X89" s="54"/>
      <c r="Y89" s="54"/>
      <c r="Z89" s="55"/>
    </row>
    <row r="90" ht="15.75" customHeight="1">
      <c r="A90" s="53"/>
      <c r="B90" s="56">
        <v>0.6171</v>
      </c>
      <c r="C90" s="54"/>
      <c r="D90" s="54"/>
      <c r="E90" s="54"/>
      <c r="F90" s="54"/>
      <c r="G90" s="54"/>
      <c r="H90" s="54"/>
      <c r="I90" s="54"/>
      <c r="J90" s="54"/>
      <c r="K90" s="54"/>
      <c r="L90" s="54"/>
      <c r="M90" s="54"/>
      <c r="N90" s="54"/>
      <c r="O90" s="54"/>
      <c r="P90" s="54"/>
      <c r="Q90" s="54"/>
      <c r="R90" s="54"/>
      <c r="S90" s="54"/>
      <c r="T90" s="54"/>
      <c r="U90" s="54"/>
      <c r="V90" s="54"/>
      <c r="W90" s="54"/>
      <c r="X90" s="54"/>
      <c r="Y90" s="54"/>
      <c r="Z90" s="55"/>
    </row>
    <row r="91" ht="15.75" customHeight="1">
      <c r="A91" s="53"/>
      <c r="B91" s="56">
        <v>0.701</v>
      </c>
      <c r="C91" s="54"/>
      <c r="D91" s="54"/>
      <c r="E91" s="54"/>
      <c r="F91" s="54"/>
      <c r="G91" s="54"/>
      <c r="H91" s="54"/>
      <c r="I91" s="54"/>
      <c r="J91" s="54"/>
      <c r="K91" s="54"/>
      <c r="L91" s="54"/>
      <c r="M91" s="54"/>
      <c r="N91" s="54"/>
      <c r="O91" s="54"/>
      <c r="P91" s="54"/>
      <c r="Q91" s="54"/>
      <c r="R91" s="54"/>
      <c r="S91" s="54"/>
      <c r="T91" s="54"/>
      <c r="U91" s="54"/>
      <c r="V91" s="54"/>
      <c r="W91" s="54"/>
      <c r="X91" s="54"/>
      <c r="Y91" s="54"/>
      <c r="Z91" s="55"/>
    </row>
    <row r="92" ht="15.75" customHeight="1">
      <c r="A92" s="53"/>
      <c r="B92" s="56">
        <v>0.7391</v>
      </c>
      <c r="C92" s="54"/>
      <c r="D92" s="54"/>
      <c r="E92" s="54"/>
      <c r="F92" s="54"/>
      <c r="G92" s="54"/>
      <c r="H92" s="54"/>
      <c r="I92" s="54"/>
      <c r="J92" s="54"/>
      <c r="K92" s="54"/>
      <c r="L92" s="54"/>
      <c r="M92" s="54"/>
      <c r="N92" s="54"/>
      <c r="O92" s="54"/>
      <c r="P92" s="54"/>
      <c r="Q92" s="54"/>
      <c r="R92" s="54"/>
      <c r="S92" s="54"/>
      <c r="T92" s="54"/>
      <c r="U92" s="54"/>
      <c r="V92" s="54"/>
      <c r="W92" s="54"/>
      <c r="X92" s="54"/>
      <c r="Y92" s="54"/>
      <c r="Z92" s="55"/>
    </row>
    <row r="93" ht="15.75" customHeight="1">
      <c r="A93" s="53"/>
      <c r="B93" s="56">
        <v>0.5728</v>
      </c>
      <c r="C93" s="54"/>
      <c r="D93" s="54"/>
      <c r="E93" s="54"/>
      <c r="F93" s="54"/>
      <c r="G93" s="54"/>
      <c r="H93" s="54"/>
      <c r="I93" s="54"/>
      <c r="J93" s="54"/>
      <c r="K93" s="54"/>
      <c r="L93" s="54"/>
      <c r="M93" s="54"/>
      <c r="N93" s="54"/>
      <c r="O93" s="54"/>
      <c r="P93" s="54"/>
      <c r="Q93" s="54"/>
      <c r="R93" s="54"/>
      <c r="S93" s="54"/>
      <c r="T93" s="54"/>
      <c r="U93" s="54"/>
      <c r="V93" s="54"/>
      <c r="W93" s="54"/>
      <c r="X93" s="54"/>
      <c r="Y93" s="54"/>
      <c r="Z93" s="55"/>
    </row>
    <row r="94" ht="15.75" customHeight="1">
      <c r="A94" s="53"/>
      <c r="B94" s="56">
        <v>0.5688</v>
      </c>
      <c r="C94" s="54"/>
      <c r="D94" s="54"/>
      <c r="E94" s="54"/>
      <c r="F94" s="54"/>
      <c r="G94" s="54"/>
      <c r="H94" s="54"/>
      <c r="I94" s="54"/>
      <c r="J94" s="54"/>
      <c r="K94" s="54"/>
      <c r="L94" s="54"/>
      <c r="M94" s="54"/>
      <c r="N94" s="54"/>
      <c r="O94" s="54"/>
      <c r="P94" s="54"/>
      <c r="Q94" s="54"/>
      <c r="R94" s="54"/>
      <c r="S94" s="54"/>
      <c r="T94" s="54"/>
      <c r="U94" s="54"/>
      <c r="V94" s="54"/>
      <c r="W94" s="54"/>
      <c r="X94" s="54"/>
      <c r="Y94" s="54"/>
      <c r="Z94" s="55"/>
    </row>
    <row r="95" ht="15.75" customHeight="1">
      <c r="A95" s="53"/>
      <c r="B95" s="56">
        <v>0.3763</v>
      </c>
      <c r="C95" s="54"/>
      <c r="D95" s="54"/>
      <c r="E95" s="54"/>
      <c r="F95" s="54"/>
      <c r="G95" s="54"/>
      <c r="H95" s="54"/>
      <c r="I95" s="54"/>
      <c r="J95" s="54"/>
      <c r="K95" s="54"/>
      <c r="L95" s="54"/>
      <c r="M95" s="54"/>
      <c r="N95" s="54"/>
      <c r="O95" s="54"/>
      <c r="P95" s="54"/>
      <c r="Q95" s="54"/>
      <c r="R95" s="54"/>
      <c r="S95" s="54"/>
      <c r="T95" s="54"/>
      <c r="U95" s="54"/>
      <c r="V95" s="54"/>
      <c r="W95" s="54"/>
      <c r="X95" s="54"/>
      <c r="Y95" s="54"/>
      <c r="Z95" s="55"/>
    </row>
    <row r="96" ht="15.75" customHeight="1">
      <c r="A96" s="53"/>
      <c r="B96" s="56">
        <v>0.1113</v>
      </c>
      <c r="C96" s="54"/>
      <c r="D96" s="54"/>
      <c r="E96" s="54"/>
      <c r="F96" s="54"/>
      <c r="G96" s="54"/>
      <c r="H96" s="54"/>
      <c r="I96" s="54"/>
      <c r="J96" s="54"/>
      <c r="K96" s="54"/>
      <c r="L96" s="54"/>
      <c r="M96" s="54"/>
      <c r="N96" s="54"/>
      <c r="O96" s="54"/>
      <c r="P96" s="54"/>
      <c r="Q96" s="54"/>
      <c r="R96" s="54"/>
      <c r="S96" s="54"/>
      <c r="T96" s="54"/>
      <c r="U96" s="54"/>
      <c r="V96" s="54"/>
      <c r="W96" s="54"/>
      <c r="X96" s="54"/>
      <c r="Y96" s="54"/>
      <c r="Z96" s="55"/>
    </row>
    <row r="97" ht="15.75" customHeight="1">
      <c r="A97" s="53"/>
      <c r="B97" s="56">
        <v>0.3568</v>
      </c>
      <c r="C97" s="54"/>
      <c r="D97" s="54"/>
      <c r="E97" s="54"/>
      <c r="F97" s="54"/>
      <c r="G97" s="54"/>
      <c r="H97" s="54"/>
      <c r="I97" s="54"/>
      <c r="J97" s="54"/>
      <c r="K97" s="54"/>
      <c r="L97" s="54"/>
      <c r="M97" s="54"/>
      <c r="N97" s="54"/>
      <c r="O97" s="54"/>
      <c r="P97" s="54"/>
      <c r="Q97" s="54"/>
      <c r="R97" s="54"/>
      <c r="S97" s="54"/>
      <c r="T97" s="54"/>
      <c r="U97" s="54"/>
      <c r="V97" s="54"/>
      <c r="W97" s="54"/>
      <c r="X97" s="54"/>
      <c r="Y97" s="54"/>
      <c r="Z97" s="55"/>
    </row>
    <row r="98" ht="15.75" customHeight="1">
      <c r="A98" s="53"/>
      <c r="B98" s="56">
        <v>0.1727</v>
      </c>
      <c r="C98" s="54"/>
      <c r="D98" s="54"/>
      <c r="E98" s="54"/>
      <c r="F98" s="54"/>
      <c r="G98" s="54"/>
      <c r="H98" s="54"/>
      <c r="I98" s="54"/>
      <c r="J98" s="54"/>
      <c r="K98" s="54"/>
      <c r="L98" s="54"/>
      <c r="M98" s="54"/>
      <c r="N98" s="54"/>
      <c r="O98" s="54"/>
      <c r="P98" s="54"/>
      <c r="Q98" s="54"/>
      <c r="R98" s="54"/>
      <c r="S98" s="54"/>
      <c r="T98" s="54"/>
      <c r="U98" s="54"/>
      <c r="V98" s="54"/>
      <c r="W98" s="54"/>
      <c r="X98" s="54"/>
      <c r="Y98" s="54"/>
      <c r="Z98" s="55"/>
    </row>
    <row r="99" ht="15.75" customHeight="1">
      <c r="A99" s="53"/>
      <c r="B99" s="56">
        <v>0.312</v>
      </c>
      <c r="C99" s="54"/>
      <c r="D99" s="54"/>
      <c r="E99" s="54"/>
      <c r="F99" s="54"/>
      <c r="G99" s="54"/>
      <c r="H99" s="54"/>
      <c r="I99" s="54"/>
      <c r="J99" s="54"/>
      <c r="K99" s="54"/>
      <c r="L99" s="54"/>
      <c r="M99" s="54"/>
      <c r="N99" s="54"/>
      <c r="O99" s="54"/>
      <c r="P99" s="54"/>
      <c r="Q99" s="54"/>
      <c r="R99" s="54"/>
      <c r="S99" s="54"/>
      <c r="T99" s="54"/>
      <c r="U99" s="54"/>
      <c r="V99" s="54"/>
      <c r="W99" s="54"/>
      <c r="X99" s="54"/>
      <c r="Y99" s="54"/>
      <c r="Z99" s="55"/>
    </row>
    <row r="100" ht="15.75" customHeight="1">
      <c r="A100" s="53"/>
      <c r="B100" s="56">
        <v>0.0165</v>
      </c>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5"/>
    </row>
    <row r="101" ht="15.75" customHeight="1">
      <c r="A101" s="53"/>
      <c r="B101" s="56">
        <v>0.7941</v>
      </c>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5"/>
    </row>
    <row r="102" ht="15.75" customHeight="1">
      <c r="A102" s="53"/>
      <c r="B102" s="56">
        <v>0.22</v>
      </c>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5"/>
    </row>
    <row r="103" ht="15.75" customHeight="1">
      <c r="A103" s="53"/>
      <c r="B103" s="56">
        <v>0.5886</v>
      </c>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5"/>
    </row>
    <row r="104" ht="15.75" customHeight="1">
      <c r="A104" s="53"/>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5"/>
    </row>
    <row r="105" ht="15.75" customHeight="1">
      <c r="A105" s="53"/>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5"/>
    </row>
    <row r="106" ht="15.75" customHeight="1">
      <c r="A106" s="53"/>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5"/>
    </row>
    <row r="107" ht="15.75" customHeight="1">
      <c r="A107" s="53"/>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5"/>
    </row>
    <row r="108" ht="15.75" customHeight="1">
      <c r="A108" s="53"/>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5"/>
    </row>
    <row r="109" ht="15.75" customHeight="1">
      <c r="A109" s="53"/>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5"/>
    </row>
    <row r="110" ht="15.75" customHeight="1">
      <c r="A110" s="53"/>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5"/>
    </row>
    <row r="111" ht="15.75" customHeight="1">
      <c r="A111" s="53"/>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5"/>
    </row>
    <row r="112" ht="15.75" customHeight="1">
      <c r="A112" s="53"/>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5"/>
    </row>
    <row r="113" ht="15.75" customHeight="1">
      <c r="A113" s="53"/>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5"/>
    </row>
    <row r="114" ht="15.75" customHeight="1">
      <c r="A114" s="53"/>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5"/>
    </row>
    <row r="115" ht="15.75" customHeight="1">
      <c r="A115" s="53"/>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5"/>
    </row>
    <row r="116" ht="15.75" customHeight="1">
      <c r="A116" s="53"/>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5"/>
    </row>
    <row r="117" ht="15.75" customHeight="1">
      <c r="A117" s="53"/>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5"/>
    </row>
    <row r="118" ht="15.75" customHeight="1">
      <c r="A118" s="53"/>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5"/>
    </row>
    <row r="119" ht="15.75" customHeight="1">
      <c r="A119" s="53"/>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5"/>
    </row>
    <row r="120" ht="15.75" customHeight="1">
      <c r="A120" s="53"/>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5"/>
    </row>
    <row r="121" ht="15.75" customHeight="1">
      <c r="A121" s="53"/>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5"/>
    </row>
    <row r="122" ht="15.75" customHeight="1">
      <c r="A122" s="53"/>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5"/>
    </row>
    <row r="123" ht="15.75" customHeight="1">
      <c r="A123" s="53"/>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5"/>
    </row>
    <row r="124" ht="15.75" customHeight="1">
      <c r="A124" s="53"/>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5"/>
    </row>
    <row r="125" ht="15.75" customHeight="1">
      <c r="A125" s="53"/>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5"/>
    </row>
    <row r="126" ht="15.75" customHeight="1">
      <c r="A126" s="53"/>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5"/>
    </row>
    <row r="127" ht="15.75" customHeight="1">
      <c r="A127" s="53"/>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5"/>
    </row>
    <row r="128" ht="15.75" customHeight="1">
      <c r="A128" s="53"/>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5"/>
    </row>
    <row r="129" ht="15.75" customHeight="1">
      <c r="A129" s="53"/>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5"/>
    </row>
    <row r="130" ht="15.75" customHeight="1">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5"/>
    </row>
    <row r="131" ht="15.75" customHeight="1">
      <c r="A131" s="53"/>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5"/>
    </row>
    <row r="132" ht="15.75" customHeight="1">
      <c r="A132" s="53"/>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5"/>
    </row>
    <row r="133" ht="15.75" customHeight="1">
      <c r="A133" s="53"/>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5"/>
    </row>
    <row r="134" ht="15.75" customHeight="1">
      <c r="A134" s="53"/>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5"/>
    </row>
    <row r="135" ht="15.75" customHeight="1">
      <c r="A135" s="53"/>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5"/>
    </row>
    <row r="136" ht="15.75" customHeight="1">
      <c r="A136" s="53"/>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5"/>
    </row>
    <row r="137" ht="15.75" customHeight="1">
      <c r="A137" s="53"/>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5"/>
    </row>
    <row r="138" ht="15.75" customHeight="1">
      <c r="A138" s="53"/>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5"/>
    </row>
    <row r="139" ht="15.75" customHeight="1">
      <c r="A139" s="53"/>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5"/>
    </row>
    <row r="140" ht="15.75" customHeight="1">
      <c r="A140" s="53"/>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5"/>
    </row>
    <row r="141" ht="15.75" customHeight="1">
      <c r="A141" s="53"/>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5"/>
    </row>
    <row r="142" ht="15.75" customHeight="1">
      <c r="A142" s="53"/>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5"/>
    </row>
    <row r="143" ht="15.75" customHeight="1">
      <c r="A143" s="53"/>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ht="15.75" customHeight="1">
      <c r="A144" s="53"/>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5"/>
    </row>
    <row r="145" ht="15.75" customHeight="1">
      <c r="A145" s="53"/>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5"/>
    </row>
    <row r="146" ht="15.75" customHeight="1">
      <c r="A146" s="53"/>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5"/>
    </row>
    <row r="147" ht="15.75" customHeight="1">
      <c r="A147" s="53"/>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5"/>
    </row>
    <row r="148" ht="15.75" customHeight="1">
      <c r="A148" s="53"/>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5"/>
    </row>
    <row r="149" ht="15.75" customHeight="1">
      <c r="A149" s="53"/>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5"/>
    </row>
    <row r="150" ht="15.75" customHeight="1">
      <c r="A150" s="53"/>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5"/>
    </row>
    <row r="151" ht="15.75" customHeight="1">
      <c r="A151" s="53"/>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5"/>
    </row>
    <row r="152" ht="15.75" customHeight="1">
      <c r="A152" s="53"/>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5"/>
    </row>
    <row r="153" ht="15.75" customHeight="1">
      <c r="A153" s="53"/>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5"/>
    </row>
    <row r="154" ht="15.75" customHeight="1">
      <c r="A154" s="53"/>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5"/>
    </row>
    <row r="155" ht="15.75" customHeight="1">
      <c r="A155" s="53"/>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5"/>
    </row>
    <row r="156" ht="15.75" customHeight="1">
      <c r="A156" s="53"/>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5"/>
    </row>
    <row r="157" ht="15.75" customHeight="1">
      <c r="A157" s="53"/>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5"/>
    </row>
    <row r="158" ht="15.75" customHeight="1">
      <c r="A158" s="53"/>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5"/>
    </row>
    <row r="159" ht="15.75" customHeight="1">
      <c r="A159" s="53"/>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5"/>
    </row>
    <row r="160" ht="15.75" customHeight="1">
      <c r="A160" s="53"/>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5"/>
    </row>
    <row r="161" ht="15.75" customHeight="1">
      <c r="A161" s="53"/>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5"/>
    </row>
    <row r="162" ht="15.75" customHeight="1">
      <c r="A162" s="53"/>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5"/>
    </row>
    <row r="163" ht="15.75" customHeight="1">
      <c r="A163" s="53"/>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5"/>
    </row>
    <row r="164" ht="15.75" customHeight="1">
      <c r="A164" s="53"/>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5"/>
    </row>
    <row r="165" ht="15.75" customHeight="1">
      <c r="A165" s="53"/>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5"/>
    </row>
    <row r="166" ht="15.75" customHeight="1">
      <c r="A166" s="53"/>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5"/>
    </row>
    <row r="167" ht="15.75" customHeight="1">
      <c r="A167" s="53"/>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5"/>
    </row>
    <row r="168" ht="15.75" customHeight="1">
      <c r="A168" s="53"/>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5"/>
    </row>
    <row r="169" ht="15.75" customHeight="1">
      <c r="A169" s="53"/>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5"/>
    </row>
    <row r="170" ht="15.75" customHeight="1">
      <c r="A170" s="53"/>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5"/>
    </row>
    <row r="171" ht="15.75" customHeight="1">
      <c r="A171" s="53"/>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5"/>
    </row>
    <row r="172" ht="15.75" customHeight="1">
      <c r="A172" s="53"/>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5"/>
    </row>
    <row r="173" ht="15.75" customHeight="1">
      <c r="A173" s="53"/>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5"/>
    </row>
    <row r="174" ht="15.75" customHeight="1">
      <c r="A174" s="53"/>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ht="15.75" customHeight="1">
      <c r="A175" s="53"/>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5"/>
    </row>
    <row r="176" ht="15.75" customHeight="1">
      <c r="A176" s="53"/>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5"/>
    </row>
    <row r="177" ht="15.75" customHeight="1">
      <c r="A177" s="53"/>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5"/>
    </row>
    <row r="178" ht="15.75" customHeight="1">
      <c r="A178" s="53"/>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5"/>
    </row>
    <row r="179" ht="15.75" customHeight="1">
      <c r="A179" s="53"/>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5"/>
    </row>
    <row r="180" ht="15.75" customHeight="1">
      <c r="A180" s="53"/>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5"/>
    </row>
    <row r="181" ht="15.75" customHeight="1">
      <c r="A181" s="53"/>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5"/>
    </row>
    <row r="182" ht="15.75" customHeight="1">
      <c r="A182" s="53"/>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5"/>
    </row>
    <row r="183" ht="15.75" customHeight="1">
      <c r="A183" s="53"/>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5"/>
    </row>
    <row r="184" ht="15.75" customHeight="1">
      <c r="A184" s="5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5"/>
    </row>
    <row r="185" ht="15.75" customHeight="1">
      <c r="A185" s="5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5"/>
    </row>
    <row r="186" ht="15.75" customHeight="1">
      <c r="A186" s="69"/>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1"/>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V1"/>
    <mergeCell ref="G9:H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27.88"/>
    <col customWidth="1" min="6" max="6" width="12.63"/>
  </cols>
  <sheetData>
    <row r="1" ht="15.75" customHeight="1">
      <c r="A1" s="72" t="s">
        <v>166</v>
      </c>
      <c r="B1" s="20"/>
      <c r="C1" s="20"/>
      <c r="D1" s="20"/>
      <c r="E1" s="20"/>
      <c r="F1" s="20"/>
      <c r="G1" s="20"/>
      <c r="H1" s="20"/>
      <c r="I1" s="20"/>
      <c r="J1" s="20"/>
      <c r="K1" s="20"/>
      <c r="L1" s="20"/>
      <c r="M1" s="20"/>
      <c r="N1" s="20"/>
      <c r="O1" s="20"/>
      <c r="P1" s="20"/>
      <c r="Q1" s="20"/>
      <c r="R1" s="20"/>
      <c r="S1" s="20"/>
      <c r="T1" s="20"/>
      <c r="U1" s="20"/>
      <c r="V1" s="17"/>
    </row>
    <row r="2" ht="15.75" customHeight="1">
      <c r="A2" s="11"/>
      <c r="B2" s="11"/>
      <c r="C2" s="11"/>
      <c r="D2" s="11"/>
      <c r="E2" s="13"/>
      <c r="F2" s="11"/>
      <c r="G2" s="11"/>
      <c r="H2" s="11"/>
      <c r="I2" s="11"/>
      <c r="J2" s="11"/>
      <c r="K2" s="11"/>
      <c r="L2" s="11"/>
      <c r="M2" s="11"/>
      <c r="N2" s="11"/>
      <c r="O2" s="11"/>
      <c r="P2" s="11"/>
      <c r="Q2" s="11"/>
      <c r="R2" s="11"/>
      <c r="S2" s="11"/>
      <c r="T2" s="11"/>
      <c r="U2" s="11"/>
      <c r="V2" s="11"/>
    </row>
    <row r="3" ht="15.75" customHeight="1">
      <c r="A3" s="11"/>
      <c r="B3" s="23">
        <v>0.442</v>
      </c>
      <c r="C3" s="11"/>
      <c r="D3" s="11" t="s">
        <v>167</v>
      </c>
      <c r="E3" s="73" t="s">
        <v>168</v>
      </c>
      <c r="F3" s="11"/>
      <c r="G3" s="11"/>
      <c r="H3" s="11"/>
      <c r="I3" s="11"/>
      <c r="J3" s="11"/>
      <c r="K3" s="11"/>
      <c r="L3" s="11"/>
      <c r="M3" s="11"/>
      <c r="N3" s="11"/>
      <c r="O3" s="11"/>
      <c r="P3" s="11"/>
      <c r="Q3" s="11"/>
      <c r="R3" s="11"/>
      <c r="S3" s="11"/>
      <c r="T3" s="11"/>
      <c r="U3" s="11"/>
      <c r="V3" s="11"/>
    </row>
    <row r="4" ht="15.75" customHeight="1">
      <c r="A4" s="11"/>
      <c r="B4" s="23">
        <v>0.2734</v>
      </c>
      <c r="C4" s="11"/>
      <c r="D4" s="74">
        <f t="shared" ref="D4:D102" si="1">IF(B4&lt;=B3,0,1)</f>
        <v>0</v>
      </c>
      <c r="E4" s="13">
        <v>1.0</v>
      </c>
      <c r="F4" s="10">
        <f>E103</f>
        <v>62</v>
      </c>
      <c r="G4" s="11"/>
      <c r="H4" s="11"/>
      <c r="I4" s="11"/>
      <c r="J4" s="11"/>
      <c r="K4" s="11"/>
      <c r="L4" s="11"/>
      <c r="M4" s="11"/>
      <c r="N4" s="11"/>
      <c r="O4" s="11"/>
      <c r="P4" s="11"/>
      <c r="Q4" s="11"/>
      <c r="R4" s="11"/>
      <c r="S4" s="11"/>
      <c r="T4" s="11"/>
      <c r="U4" s="11"/>
      <c r="V4" s="11"/>
    </row>
    <row r="5" ht="15.75" customHeight="1">
      <c r="A5" s="11"/>
      <c r="B5" s="23">
        <v>0.1587</v>
      </c>
      <c r="C5" s="11"/>
      <c r="D5" s="75">
        <f t="shared" si="1"/>
        <v>0</v>
      </c>
      <c r="E5" s="13"/>
      <c r="F5" s="11"/>
      <c r="G5" s="11"/>
      <c r="H5" s="11"/>
      <c r="I5" s="11"/>
      <c r="J5" s="11"/>
      <c r="K5" s="11"/>
      <c r="L5" s="11"/>
      <c r="M5" s="11"/>
      <c r="N5" s="11"/>
      <c r="O5" s="11"/>
      <c r="P5" s="11"/>
      <c r="Q5" s="11"/>
      <c r="R5" s="11"/>
      <c r="S5" s="11"/>
      <c r="T5" s="11"/>
      <c r="U5" s="11"/>
      <c r="V5" s="11"/>
    </row>
    <row r="6" ht="15.75" customHeight="1">
      <c r="A6" s="11"/>
      <c r="B6" s="23">
        <v>0.6382</v>
      </c>
      <c r="C6" s="11"/>
      <c r="D6" s="74">
        <f t="shared" si="1"/>
        <v>1</v>
      </c>
      <c r="E6" s="13">
        <v>1.0</v>
      </c>
      <c r="F6" s="11"/>
      <c r="G6" s="11"/>
      <c r="H6" s="11"/>
      <c r="I6" s="11"/>
      <c r="J6" s="11"/>
      <c r="K6" s="11"/>
      <c r="L6" s="11"/>
      <c r="M6" s="11"/>
      <c r="N6" s="11"/>
      <c r="O6" s="11"/>
      <c r="P6" s="11"/>
      <c r="Q6" s="11"/>
      <c r="R6" s="11"/>
      <c r="S6" s="11"/>
      <c r="T6" s="11"/>
      <c r="U6" s="11"/>
      <c r="V6" s="11"/>
    </row>
    <row r="7" ht="15.75" customHeight="1">
      <c r="A7" s="11"/>
      <c r="B7" s="23">
        <v>0.7165</v>
      </c>
      <c r="C7" s="11"/>
      <c r="D7" s="74">
        <f t="shared" si="1"/>
        <v>1</v>
      </c>
      <c r="E7" s="13"/>
      <c r="F7" s="11"/>
      <c r="G7" s="11"/>
      <c r="H7" s="11"/>
      <c r="I7" s="11"/>
      <c r="J7" s="11"/>
      <c r="K7" s="11"/>
      <c r="L7" s="11"/>
      <c r="M7" s="11"/>
      <c r="N7" s="11"/>
      <c r="O7" s="11"/>
      <c r="P7" s="11"/>
      <c r="Q7" s="11"/>
      <c r="R7" s="11"/>
      <c r="S7" s="11"/>
      <c r="T7" s="11"/>
      <c r="U7" s="11"/>
      <c r="V7" s="11"/>
    </row>
    <row r="8" ht="15.75" customHeight="1">
      <c r="A8" s="11"/>
      <c r="B8" s="23">
        <v>0.4851</v>
      </c>
      <c r="C8" s="11"/>
      <c r="D8" s="75">
        <f t="shared" si="1"/>
        <v>0</v>
      </c>
      <c r="E8" s="13">
        <v>1.0</v>
      </c>
      <c r="F8" s="11"/>
      <c r="G8" s="11"/>
      <c r="H8" s="11"/>
      <c r="I8" s="11"/>
      <c r="J8" s="11"/>
      <c r="K8" s="25" t="s">
        <v>169</v>
      </c>
      <c r="L8" s="26">
        <v>0.05</v>
      </c>
      <c r="M8" s="76">
        <v>0.05</v>
      </c>
      <c r="N8" s="33" t="str">
        <f t="shared" ref="N8:O8" si="2">#REF!</f>
        <v>#REF!</v>
      </c>
      <c r="O8" s="77" t="str">
        <f t="shared" si="2"/>
        <v>#REF!</v>
      </c>
      <c r="P8" s="11"/>
      <c r="Q8" s="11"/>
      <c r="R8" s="11"/>
      <c r="S8" s="11"/>
      <c r="T8" s="11"/>
      <c r="U8" s="11"/>
      <c r="V8" s="11"/>
    </row>
    <row r="9" ht="15.75" customHeight="1">
      <c r="A9" s="11"/>
      <c r="B9" s="23">
        <v>0.3478</v>
      </c>
      <c r="C9" s="11"/>
      <c r="D9" s="75">
        <f t="shared" si="1"/>
        <v>0</v>
      </c>
      <c r="E9" s="13"/>
      <c r="F9" s="11"/>
      <c r="G9" s="11"/>
      <c r="H9" s="11"/>
      <c r="I9" s="11"/>
      <c r="J9" s="11"/>
      <c r="K9" s="25" t="s">
        <v>170</v>
      </c>
      <c r="L9" s="31">
        <f>M8/2</f>
        <v>0.025</v>
      </c>
      <c r="M9" s="11"/>
      <c r="N9" s="11"/>
      <c r="O9" s="11"/>
      <c r="P9" s="11"/>
      <c r="Q9" s="11"/>
      <c r="R9" s="11"/>
      <c r="S9" s="11"/>
      <c r="T9" s="11"/>
      <c r="U9" s="11"/>
      <c r="V9" s="11"/>
    </row>
    <row r="10" ht="15.75" customHeight="1">
      <c r="A10" s="11"/>
      <c r="B10" s="23">
        <v>0.7396</v>
      </c>
      <c r="C10" s="11"/>
      <c r="D10" s="75">
        <f t="shared" si="1"/>
        <v>1</v>
      </c>
      <c r="E10" s="13">
        <v>1.0</v>
      </c>
      <c r="F10" s="11"/>
      <c r="G10" s="25" t="s">
        <v>156</v>
      </c>
      <c r="H10" s="41">
        <v>100.0</v>
      </c>
      <c r="I10" s="11"/>
      <c r="J10" s="11"/>
      <c r="K10" s="25" t="s">
        <v>171</v>
      </c>
      <c r="L10" s="78">
        <f>1-L9</f>
        <v>0.975</v>
      </c>
      <c r="M10" s="79" t="s">
        <v>172</v>
      </c>
      <c r="R10" s="11"/>
      <c r="S10" s="11"/>
      <c r="T10" s="11"/>
      <c r="U10" s="11"/>
      <c r="V10" s="11"/>
    </row>
    <row r="11" ht="15.75" customHeight="1">
      <c r="A11" s="11"/>
      <c r="B11" s="23">
        <v>0.5969</v>
      </c>
      <c r="C11" s="11"/>
      <c r="D11" s="75">
        <f t="shared" si="1"/>
        <v>0</v>
      </c>
      <c r="E11" s="13">
        <v>1.0</v>
      </c>
      <c r="F11" s="11"/>
      <c r="G11" s="25" t="s">
        <v>173</v>
      </c>
      <c r="H11" s="80">
        <f>((2*$H$10)-1)/3</f>
        <v>66.33333333</v>
      </c>
      <c r="I11" s="15"/>
      <c r="J11" s="11"/>
      <c r="K11" s="11"/>
      <c r="L11" s="11"/>
      <c r="R11" s="11"/>
      <c r="S11" s="11"/>
      <c r="T11" s="11"/>
      <c r="U11" s="11"/>
      <c r="V11" s="11"/>
    </row>
    <row r="12" ht="15.75" customHeight="1">
      <c r="A12" s="11"/>
      <c r="B12" s="23">
        <v>0.7287</v>
      </c>
      <c r="C12" s="11"/>
      <c r="D12" s="74">
        <f t="shared" si="1"/>
        <v>1</v>
      </c>
      <c r="E12" s="13">
        <v>1.0</v>
      </c>
      <c r="F12" s="11"/>
      <c r="G12" s="25" t="s">
        <v>174</v>
      </c>
      <c r="H12" s="80">
        <f>((16*$H$10)-29)/90</f>
        <v>17.45555556</v>
      </c>
      <c r="I12" s="11"/>
      <c r="J12" s="11"/>
      <c r="K12" s="40" t="s">
        <v>123</v>
      </c>
      <c r="L12" s="11"/>
      <c r="M12" s="11"/>
      <c r="N12" s="11"/>
      <c r="O12" s="11"/>
      <c r="P12" s="11"/>
      <c r="Q12" s="11"/>
      <c r="R12" s="11"/>
      <c r="S12" s="11"/>
      <c r="T12" s="11"/>
      <c r="U12" s="11"/>
      <c r="V12" s="11"/>
    </row>
    <row r="13" ht="15.75" customHeight="1">
      <c r="A13" s="11"/>
      <c r="B13" s="23">
        <v>0.0723</v>
      </c>
      <c r="C13" s="11"/>
      <c r="D13" s="74">
        <f t="shared" si="1"/>
        <v>0</v>
      </c>
      <c r="E13" s="13">
        <v>1.0</v>
      </c>
      <c r="F13" s="11"/>
      <c r="G13" s="25" t="s">
        <v>175</v>
      </c>
      <c r="H13" s="80">
        <f>ABS(($F$4-$H$11)/(SQRT($H$12)))</f>
        <v>1.037182689</v>
      </c>
      <c r="I13" s="11"/>
      <c r="J13" s="11"/>
      <c r="K13" s="25" t="s">
        <v>176</v>
      </c>
      <c r="L13" s="79" t="s">
        <v>177</v>
      </c>
      <c r="R13" s="11"/>
      <c r="S13" s="11"/>
      <c r="T13" s="11"/>
      <c r="U13" s="11"/>
      <c r="V13" s="11"/>
    </row>
    <row r="14" ht="15.75" customHeight="1">
      <c r="A14" s="11"/>
      <c r="B14" s="23">
        <v>0.4797</v>
      </c>
      <c r="C14" s="11"/>
      <c r="D14" s="74">
        <f t="shared" si="1"/>
        <v>1</v>
      </c>
      <c r="E14" s="13">
        <v>1.0</v>
      </c>
      <c r="F14" s="11"/>
      <c r="G14" s="25" t="s">
        <v>178</v>
      </c>
      <c r="H14" s="81">
        <f>NORMSINV(L10)</f>
        <v>1.959963986</v>
      </c>
      <c r="I14" s="11"/>
      <c r="J14" s="11"/>
      <c r="K14" s="11"/>
      <c r="R14" s="11"/>
      <c r="S14" s="11"/>
      <c r="T14" s="11"/>
      <c r="U14" s="11"/>
      <c r="V14" s="11"/>
    </row>
    <row r="15" ht="15.75" customHeight="1">
      <c r="A15" s="11"/>
      <c r="B15" s="23">
        <v>0.0879</v>
      </c>
      <c r="C15" s="11"/>
      <c r="D15" s="75">
        <f t="shared" si="1"/>
        <v>0</v>
      </c>
      <c r="E15" s="13">
        <v>1.0</v>
      </c>
      <c r="F15" s="11"/>
      <c r="G15" s="11"/>
      <c r="H15" s="11"/>
      <c r="I15" s="11"/>
      <c r="J15" s="11"/>
      <c r="K15" s="11"/>
      <c r="L15" s="11"/>
      <c r="M15" s="11"/>
      <c r="N15" s="11"/>
      <c r="O15" s="11"/>
      <c r="P15" s="11"/>
      <c r="Q15" s="11"/>
      <c r="R15" s="11"/>
      <c r="S15" s="11"/>
      <c r="T15" s="11"/>
      <c r="U15" s="11"/>
      <c r="V15" s="11"/>
    </row>
    <row r="16" ht="15.75" customHeight="1">
      <c r="A16" s="11"/>
      <c r="B16" s="23">
        <v>0.2306</v>
      </c>
      <c r="C16" s="11"/>
      <c r="D16" s="74">
        <f t="shared" si="1"/>
        <v>1</v>
      </c>
      <c r="E16" s="13">
        <v>1.0</v>
      </c>
      <c r="F16" s="11"/>
      <c r="G16" s="49" t="s">
        <v>179</v>
      </c>
      <c r="S16" s="11"/>
      <c r="T16" s="11"/>
      <c r="U16" s="11"/>
      <c r="V16" s="11"/>
    </row>
    <row r="17" ht="15.75" customHeight="1">
      <c r="A17" s="11"/>
      <c r="B17" s="23">
        <v>0.0987</v>
      </c>
      <c r="C17" s="11"/>
      <c r="D17" s="75">
        <f t="shared" si="1"/>
        <v>0</v>
      </c>
      <c r="E17" s="13">
        <v>1.0</v>
      </c>
      <c r="F17" s="11"/>
      <c r="S17" s="11"/>
      <c r="T17" s="11"/>
      <c r="U17" s="11"/>
      <c r="V17" s="11"/>
    </row>
    <row r="18" ht="15.75" customHeight="1">
      <c r="A18" s="11"/>
      <c r="B18" s="23">
        <v>0.7504</v>
      </c>
      <c r="C18" s="11"/>
      <c r="D18" s="74">
        <f t="shared" si="1"/>
        <v>1</v>
      </c>
      <c r="E18" s="13">
        <v>1.0</v>
      </c>
      <c r="F18" s="11"/>
      <c r="S18" s="11"/>
      <c r="T18" s="11"/>
      <c r="U18" s="11"/>
      <c r="V18" s="11"/>
    </row>
    <row r="19" ht="15.75" customHeight="1">
      <c r="A19" s="11"/>
      <c r="B19" s="23">
        <v>0.1167</v>
      </c>
      <c r="C19" s="11"/>
      <c r="D19" s="74">
        <f t="shared" si="1"/>
        <v>0</v>
      </c>
      <c r="E19" s="13">
        <v>1.0</v>
      </c>
      <c r="F19" s="11"/>
      <c r="G19" s="11"/>
      <c r="H19" s="11"/>
      <c r="I19" s="11"/>
      <c r="J19" s="11"/>
      <c r="K19" s="11"/>
      <c r="L19" s="11"/>
      <c r="M19" s="11"/>
      <c r="N19" s="11"/>
      <c r="O19" s="11"/>
      <c r="P19" s="11"/>
      <c r="Q19" s="11"/>
      <c r="R19" s="11"/>
      <c r="S19" s="11"/>
      <c r="T19" s="11"/>
      <c r="U19" s="11"/>
      <c r="V19" s="11"/>
    </row>
    <row r="20" ht="15.75" customHeight="1">
      <c r="A20" s="11"/>
      <c r="B20" s="23">
        <v>0.6167</v>
      </c>
      <c r="C20" s="11"/>
      <c r="D20" s="75">
        <f t="shared" si="1"/>
        <v>1</v>
      </c>
      <c r="E20" s="13">
        <v>1.0</v>
      </c>
      <c r="F20" s="11"/>
      <c r="G20" s="11"/>
      <c r="H20" s="11"/>
      <c r="I20" s="11"/>
      <c r="J20" s="11"/>
      <c r="K20" s="11"/>
      <c r="L20" s="11"/>
      <c r="M20" s="11"/>
      <c r="N20" s="11"/>
      <c r="O20" s="11"/>
      <c r="P20" s="11"/>
      <c r="Q20" s="11"/>
      <c r="R20" s="11"/>
      <c r="S20" s="11"/>
      <c r="T20" s="11"/>
      <c r="U20" s="11"/>
      <c r="V20" s="11"/>
    </row>
    <row r="21" ht="15.75" customHeight="1">
      <c r="A21" s="11"/>
      <c r="B21" s="23">
        <v>0.6817</v>
      </c>
      <c r="C21" s="11"/>
      <c r="D21" s="75">
        <f t="shared" si="1"/>
        <v>1</v>
      </c>
      <c r="E21" s="13"/>
      <c r="F21" s="11"/>
      <c r="G21" s="11"/>
      <c r="H21" s="11"/>
      <c r="I21" s="11"/>
      <c r="J21" s="11"/>
      <c r="K21" s="11"/>
      <c r="L21" s="11"/>
      <c r="M21" s="11"/>
      <c r="N21" s="11"/>
      <c r="O21" s="11"/>
      <c r="P21" s="11"/>
      <c r="Q21" s="11"/>
      <c r="R21" s="11"/>
      <c r="S21" s="11"/>
      <c r="T21" s="11"/>
      <c r="U21" s="11"/>
      <c r="V21" s="11"/>
    </row>
    <row r="22" ht="15.75" customHeight="1">
      <c r="A22" s="11"/>
      <c r="B22" s="23">
        <v>0.8102</v>
      </c>
      <c r="C22" s="11"/>
      <c r="D22" s="75">
        <f t="shared" si="1"/>
        <v>1</v>
      </c>
      <c r="E22" s="13"/>
      <c r="F22" s="11"/>
      <c r="G22" s="11"/>
      <c r="H22" s="11"/>
      <c r="I22" s="11"/>
      <c r="J22" s="11"/>
      <c r="K22" s="11"/>
      <c r="L22" s="11"/>
      <c r="M22" s="11"/>
      <c r="N22" s="11"/>
      <c r="O22" s="11"/>
      <c r="P22" s="11"/>
      <c r="Q22" s="11"/>
      <c r="R22" s="11"/>
      <c r="S22" s="11"/>
      <c r="T22" s="11"/>
      <c r="U22" s="11"/>
      <c r="V22" s="11"/>
    </row>
    <row r="23" ht="15.75" customHeight="1">
      <c r="A23" s="11"/>
      <c r="B23" s="23">
        <v>0.9949</v>
      </c>
      <c r="C23" s="11"/>
      <c r="D23" s="74">
        <f t="shared" si="1"/>
        <v>1</v>
      </c>
      <c r="E23" s="13"/>
      <c r="F23" s="11"/>
      <c r="G23" s="11"/>
      <c r="H23" s="11"/>
      <c r="I23" s="11"/>
      <c r="J23" s="11"/>
      <c r="K23" s="11"/>
      <c r="L23" s="11"/>
      <c r="M23" s="11"/>
      <c r="N23" s="11"/>
      <c r="O23" s="11"/>
      <c r="P23" s="11"/>
      <c r="Q23" s="11"/>
      <c r="R23" s="11"/>
      <c r="S23" s="11"/>
      <c r="T23" s="11"/>
      <c r="U23" s="11"/>
      <c r="V23" s="11"/>
    </row>
    <row r="24" ht="15.75" customHeight="1">
      <c r="A24" s="11"/>
      <c r="B24" s="23">
        <v>0.8845</v>
      </c>
      <c r="C24" s="11"/>
      <c r="D24" s="75">
        <f t="shared" si="1"/>
        <v>0</v>
      </c>
      <c r="E24" s="13">
        <v>1.0</v>
      </c>
      <c r="F24" s="11"/>
      <c r="G24" s="11"/>
      <c r="H24" s="11"/>
      <c r="I24" s="11"/>
      <c r="J24" s="11"/>
      <c r="K24" s="11"/>
      <c r="L24" s="11"/>
      <c r="M24" s="11"/>
      <c r="N24" s="11"/>
      <c r="O24" s="11"/>
      <c r="P24" s="11"/>
      <c r="Q24" s="11"/>
      <c r="R24" s="11"/>
      <c r="S24" s="11"/>
      <c r="T24" s="11"/>
      <c r="U24" s="11"/>
      <c r="V24" s="11"/>
    </row>
    <row r="25" ht="15.75" customHeight="1">
      <c r="A25" s="11"/>
      <c r="B25" s="23">
        <v>0.5709</v>
      </c>
      <c r="C25" s="11"/>
      <c r="D25" s="74">
        <f t="shared" si="1"/>
        <v>0</v>
      </c>
      <c r="E25" s="13"/>
      <c r="F25" s="11"/>
      <c r="G25" s="11"/>
      <c r="H25" s="11"/>
      <c r="I25" s="11"/>
      <c r="J25" s="11"/>
      <c r="K25" s="11"/>
      <c r="L25" s="11"/>
      <c r="M25" s="11"/>
      <c r="N25" s="11"/>
      <c r="O25" s="11"/>
      <c r="P25" s="11"/>
      <c r="Q25" s="11"/>
      <c r="R25" s="11"/>
      <c r="S25" s="11"/>
      <c r="T25" s="11"/>
      <c r="U25" s="11"/>
      <c r="V25" s="11"/>
    </row>
    <row r="26" ht="15.75" customHeight="1">
      <c r="A26" s="11"/>
      <c r="B26" s="23">
        <v>0.4774</v>
      </c>
      <c r="C26" s="11"/>
      <c r="D26" s="75">
        <f t="shared" si="1"/>
        <v>0</v>
      </c>
      <c r="E26" s="13"/>
      <c r="F26" s="11"/>
      <c r="G26" s="11"/>
      <c r="H26" s="11"/>
      <c r="I26" s="11"/>
      <c r="J26" s="11"/>
      <c r="K26" s="11"/>
      <c r="L26" s="11"/>
      <c r="M26" s="11"/>
      <c r="N26" s="11"/>
      <c r="O26" s="11"/>
      <c r="P26" s="11"/>
      <c r="Q26" s="11"/>
      <c r="R26" s="11"/>
      <c r="S26" s="11"/>
      <c r="T26" s="11"/>
      <c r="U26" s="11"/>
      <c r="V26" s="11"/>
    </row>
    <row r="27" ht="15.75" customHeight="1">
      <c r="A27" s="11"/>
      <c r="B27" s="23">
        <v>0.9772</v>
      </c>
      <c r="C27" s="11"/>
      <c r="D27" s="74">
        <f t="shared" si="1"/>
        <v>1</v>
      </c>
      <c r="E27" s="13">
        <v>1.0</v>
      </c>
      <c r="F27" s="11"/>
      <c r="G27" s="11"/>
      <c r="H27" s="11"/>
      <c r="I27" s="11"/>
      <c r="J27" s="11"/>
      <c r="K27" s="11"/>
      <c r="L27" s="11"/>
      <c r="M27" s="11"/>
      <c r="N27" s="11"/>
      <c r="O27" s="11"/>
      <c r="P27" s="11"/>
      <c r="Q27" s="11"/>
      <c r="R27" s="11"/>
      <c r="S27" s="11"/>
      <c r="T27" s="11"/>
      <c r="U27" s="11"/>
      <c r="V27" s="11"/>
    </row>
    <row r="28" ht="15.75" customHeight="1">
      <c r="A28" s="11"/>
      <c r="B28" s="23">
        <v>0.0326</v>
      </c>
      <c r="C28" s="11"/>
      <c r="D28" s="75">
        <f t="shared" si="1"/>
        <v>0</v>
      </c>
      <c r="E28" s="13">
        <v>1.0</v>
      </c>
      <c r="F28" s="11"/>
      <c r="G28" s="11"/>
      <c r="H28" s="11"/>
      <c r="I28" s="11"/>
      <c r="J28" s="11"/>
      <c r="K28" s="11"/>
      <c r="L28" s="11"/>
      <c r="M28" s="11"/>
      <c r="N28" s="11"/>
      <c r="O28" s="11"/>
      <c r="P28" s="11"/>
      <c r="Q28" s="11"/>
      <c r="R28" s="11"/>
      <c r="S28" s="11"/>
      <c r="T28" s="11"/>
      <c r="U28" s="11"/>
      <c r="V28" s="11"/>
    </row>
    <row r="29" ht="15.75" customHeight="1">
      <c r="A29" s="11"/>
      <c r="B29" s="23">
        <v>0.569</v>
      </c>
      <c r="C29" s="11"/>
      <c r="D29" s="75">
        <f t="shared" si="1"/>
        <v>1</v>
      </c>
      <c r="E29" s="13">
        <v>1.0</v>
      </c>
      <c r="F29" s="11"/>
      <c r="G29" s="11"/>
      <c r="H29" s="11"/>
      <c r="I29" s="11"/>
      <c r="J29" s="11"/>
      <c r="K29" s="11"/>
      <c r="L29" s="11"/>
      <c r="M29" s="11"/>
      <c r="N29" s="11"/>
      <c r="O29" s="11"/>
      <c r="P29" s="11"/>
      <c r="Q29" s="11"/>
      <c r="R29" s="11"/>
      <c r="S29" s="11"/>
      <c r="T29" s="11"/>
      <c r="U29" s="11"/>
      <c r="V29" s="11"/>
    </row>
    <row r="30" ht="15.75" customHeight="1">
      <c r="A30" s="11"/>
      <c r="B30" s="23">
        <v>0.3859</v>
      </c>
      <c r="C30" s="11"/>
      <c r="D30" s="75">
        <f t="shared" si="1"/>
        <v>0</v>
      </c>
      <c r="E30" s="13">
        <v>1.0</v>
      </c>
      <c r="F30" s="11"/>
      <c r="G30" s="11"/>
      <c r="H30" s="11"/>
      <c r="I30" s="11"/>
      <c r="J30" s="11"/>
      <c r="K30" s="11"/>
      <c r="L30" s="11"/>
      <c r="M30" s="11"/>
      <c r="N30" s="11"/>
      <c r="O30" s="11"/>
      <c r="P30" s="11"/>
      <c r="Q30" s="11"/>
      <c r="R30" s="11"/>
      <c r="S30" s="11"/>
      <c r="T30" s="11"/>
      <c r="U30" s="11"/>
      <c r="V30" s="11"/>
    </row>
    <row r="31" ht="15.75" customHeight="1">
      <c r="A31" s="11"/>
      <c r="B31" s="23">
        <v>0.5733</v>
      </c>
      <c r="C31" s="11"/>
      <c r="D31" s="74">
        <f t="shared" si="1"/>
        <v>1</v>
      </c>
      <c r="E31" s="13">
        <v>1.0</v>
      </c>
      <c r="F31" s="11"/>
      <c r="G31" s="11"/>
      <c r="H31" s="11"/>
      <c r="I31" s="11"/>
      <c r="J31" s="11"/>
      <c r="K31" s="11"/>
      <c r="L31" s="11"/>
      <c r="M31" s="11"/>
      <c r="N31" s="11"/>
      <c r="O31" s="11"/>
      <c r="P31" s="11"/>
      <c r="Q31" s="11"/>
      <c r="R31" s="11"/>
      <c r="S31" s="11"/>
      <c r="T31" s="11"/>
      <c r="U31" s="11"/>
      <c r="V31" s="11"/>
    </row>
    <row r="32" ht="15.75" customHeight="1">
      <c r="A32" s="11"/>
      <c r="B32" s="23">
        <v>0.5929</v>
      </c>
      <c r="C32" s="11"/>
      <c r="D32" s="74">
        <f t="shared" si="1"/>
        <v>1</v>
      </c>
      <c r="E32" s="13"/>
      <c r="F32" s="11"/>
      <c r="G32" s="11"/>
      <c r="H32" s="11"/>
      <c r="I32" s="11"/>
      <c r="J32" s="11"/>
      <c r="K32" s="11"/>
      <c r="L32" s="11"/>
      <c r="M32" s="11"/>
      <c r="N32" s="11"/>
      <c r="O32" s="11"/>
      <c r="P32" s="11"/>
      <c r="Q32" s="11"/>
      <c r="R32" s="11"/>
      <c r="S32" s="11"/>
      <c r="T32" s="11"/>
      <c r="U32" s="11"/>
      <c r="V32" s="11"/>
    </row>
    <row r="33" ht="15.75" customHeight="1">
      <c r="A33" s="11"/>
      <c r="B33" s="23">
        <v>0.5362</v>
      </c>
      <c r="C33" s="11"/>
      <c r="D33" s="75">
        <f t="shared" si="1"/>
        <v>0</v>
      </c>
      <c r="E33" s="13">
        <v>1.0</v>
      </c>
      <c r="F33" s="11"/>
      <c r="G33" s="11"/>
      <c r="H33" s="11"/>
      <c r="I33" s="11"/>
      <c r="J33" s="11"/>
      <c r="K33" s="11"/>
      <c r="L33" s="11"/>
      <c r="M33" s="11"/>
      <c r="N33" s="11"/>
      <c r="O33" s="11"/>
      <c r="P33" s="11"/>
      <c r="Q33" s="11"/>
      <c r="R33" s="11"/>
      <c r="S33" s="11"/>
      <c r="T33" s="11"/>
      <c r="U33" s="11"/>
      <c r="V33" s="11"/>
    </row>
    <row r="34" ht="15.75" customHeight="1">
      <c r="A34" s="11"/>
      <c r="B34" s="23">
        <v>0.8073</v>
      </c>
      <c r="C34" s="11"/>
      <c r="D34" s="75">
        <f t="shared" si="1"/>
        <v>1</v>
      </c>
      <c r="E34" s="13">
        <v>1.0</v>
      </c>
      <c r="F34" s="11"/>
      <c r="G34" s="11"/>
      <c r="H34" s="11"/>
      <c r="I34" s="11"/>
      <c r="J34" s="11"/>
      <c r="K34" s="11"/>
      <c r="L34" s="11"/>
      <c r="M34" s="11"/>
      <c r="N34" s="11"/>
      <c r="O34" s="11"/>
      <c r="P34" s="11"/>
      <c r="Q34" s="11"/>
      <c r="R34" s="11"/>
      <c r="S34" s="11"/>
      <c r="T34" s="11"/>
      <c r="U34" s="11"/>
      <c r="V34" s="11"/>
    </row>
    <row r="35" ht="15.75" customHeight="1">
      <c r="A35" s="11"/>
      <c r="B35" s="23">
        <v>0.8553</v>
      </c>
      <c r="C35" s="11"/>
      <c r="D35" s="74">
        <f t="shared" si="1"/>
        <v>1</v>
      </c>
      <c r="E35" s="13"/>
      <c r="F35" s="11"/>
      <c r="G35" s="11"/>
      <c r="H35" s="11"/>
      <c r="I35" s="11"/>
      <c r="J35" s="11"/>
      <c r="K35" s="11"/>
      <c r="L35" s="11"/>
      <c r="M35" s="11"/>
      <c r="N35" s="11"/>
      <c r="O35" s="11"/>
      <c r="P35" s="11"/>
      <c r="Q35" s="11"/>
      <c r="R35" s="11"/>
      <c r="S35" s="11"/>
      <c r="T35" s="11"/>
      <c r="U35" s="11"/>
      <c r="V35" s="11"/>
    </row>
    <row r="36" ht="15.75" customHeight="1">
      <c r="A36" s="11"/>
      <c r="B36" s="23">
        <v>0.1655</v>
      </c>
      <c r="C36" s="11"/>
      <c r="D36" s="75">
        <f t="shared" si="1"/>
        <v>0</v>
      </c>
      <c r="E36" s="13">
        <v>1.0</v>
      </c>
      <c r="F36" s="11"/>
      <c r="G36" s="11"/>
      <c r="H36" s="11"/>
      <c r="I36" s="11"/>
      <c r="J36" s="11"/>
      <c r="K36" s="11"/>
      <c r="L36" s="11"/>
      <c r="M36" s="11"/>
      <c r="N36" s="11"/>
      <c r="O36" s="11"/>
      <c r="P36" s="11"/>
      <c r="Q36" s="11"/>
      <c r="R36" s="11"/>
      <c r="S36" s="11"/>
      <c r="T36" s="11"/>
      <c r="U36" s="11"/>
      <c r="V36" s="11"/>
    </row>
    <row r="37" ht="15.75" customHeight="1">
      <c r="A37" s="11"/>
      <c r="B37" s="23">
        <v>0.9655</v>
      </c>
      <c r="C37" s="11"/>
      <c r="D37" s="75">
        <f t="shared" si="1"/>
        <v>1</v>
      </c>
      <c r="E37" s="13">
        <v>1.0</v>
      </c>
      <c r="F37" s="11"/>
      <c r="G37" s="11"/>
      <c r="H37" s="11"/>
      <c r="I37" s="11"/>
      <c r="J37" s="11"/>
      <c r="K37" s="11"/>
      <c r="L37" s="11"/>
      <c r="M37" s="11"/>
      <c r="N37" s="11"/>
      <c r="O37" s="11"/>
      <c r="P37" s="11"/>
      <c r="Q37" s="11"/>
      <c r="R37" s="11"/>
      <c r="S37" s="11"/>
      <c r="T37" s="11"/>
      <c r="U37" s="11"/>
      <c r="V37" s="11"/>
    </row>
    <row r="38" ht="15.75" customHeight="1">
      <c r="A38" s="11"/>
      <c r="B38" s="23">
        <v>0.4695</v>
      </c>
      <c r="C38" s="11"/>
      <c r="D38" s="74">
        <f t="shared" si="1"/>
        <v>0</v>
      </c>
      <c r="E38" s="13">
        <v>1.0</v>
      </c>
      <c r="F38" s="11"/>
      <c r="G38" s="11"/>
      <c r="H38" s="11"/>
      <c r="I38" s="11"/>
      <c r="J38" s="11"/>
      <c r="K38" s="11"/>
      <c r="L38" s="11"/>
      <c r="M38" s="11"/>
      <c r="N38" s="11"/>
      <c r="O38" s="11"/>
      <c r="P38" s="11"/>
      <c r="Q38" s="11"/>
      <c r="R38" s="11"/>
      <c r="S38" s="11"/>
      <c r="T38" s="11"/>
      <c r="U38" s="11"/>
      <c r="V38" s="11"/>
    </row>
    <row r="39" ht="15.75" customHeight="1">
      <c r="A39" s="11"/>
      <c r="B39" s="23">
        <v>0.597</v>
      </c>
      <c r="C39" s="11"/>
      <c r="D39" s="74">
        <f t="shared" si="1"/>
        <v>1</v>
      </c>
      <c r="E39" s="13">
        <v>1.0</v>
      </c>
      <c r="F39" s="11"/>
      <c r="G39" s="11"/>
      <c r="H39" s="11"/>
      <c r="I39" s="11"/>
      <c r="J39" s="11"/>
      <c r="K39" s="11"/>
      <c r="L39" s="11"/>
      <c r="M39" s="11"/>
      <c r="N39" s="11"/>
      <c r="O39" s="11"/>
      <c r="P39" s="11"/>
      <c r="Q39" s="11"/>
      <c r="R39" s="11"/>
      <c r="S39" s="11"/>
      <c r="T39" s="11"/>
      <c r="U39" s="11"/>
      <c r="V39" s="11"/>
    </row>
    <row r="40" ht="15.75" customHeight="1">
      <c r="A40" s="11"/>
      <c r="B40" s="23">
        <v>0.7336</v>
      </c>
      <c r="C40" s="11"/>
      <c r="D40" s="75">
        <f t="shared" si="1"/>
        <v>1</v>
      </c>
      <c r="E40" s="13"/>
      <c r="F40" s="11"/>
      <c r="G40" s="11"/>
      <c r="H40" s="11"/>
      <c r="I40" s="11"/>
      <c r="J40" s="11"/>
      <c r="K40" s="11"/>
      <c r="L40" s="11"/>
      <c r="M40" s="11"/>
      <c r="N40" s="11"/>
      <c r="O40" s="11"/>
      <c r="P40" s="11"/>
      <c r="Q40" s="11"/>
      <c r="R40" s="11"/>
      <c r="S40" s="11"/>
      <c r="T40" s="11"/>
      <c r="U40" s="11"/>
      <c r="V40" s="11"/>
    </row>
    <row r="41" ht="15.75" customHeight="1">
      <c r="A41" s="11"/>
      <c r="B41" s="23">
        <v>0.3081</v>
      </c>
      <c r="C41" s="11"/>
      <c r="D41" s="74">
        <f t="shared" si="1"/>
        <v>0</v>
      </c>
      <c r="E41" s="13">
        <v>1.0</v>
      </c>
      <c r="F41" s="11"/>
      <c r="G41" s="11"/>
      <c r="H41" s="11"/>
      <c r="I41" s="11"/>
      <c r="J41" s="11"/>
      <c r="K41" s="11"/>
      <c r="L41" s="11"/>
      <c r="M41" s="11"/>
      <c r="N41" s="11"/>
      <c r="O41" s="11"/>
      <c r="P41" s="11"/>
      <c r="Q41" s="11"/>
      <c r="R41" s="11"/>
      <c r="S41" s="11"/>
      <c r="T41" s="11"/>
      <c r="U41" s="11"/>
      <c r="V41" s="11"/>
    </row>
    <row r="42" ht="15.75" customHeight="1">
      <c r="A42" s="11"/>
      <c r="B42" s="23">
        <v>0.8288</v>
      </c>
      <c r="C42" s="11"/>
      <c r="D42" s="75">
        <f t="shared" si="1"/>
        <v>1</v>
      </c>
      <c r="E42" s="13">
        <v>1.0</v>
      </c>
      <c r="F42" s="11"/>
      <c r="G42" s="11"/>
      <c r="H42" s="11"/>
      <c r="I42" s="11"/>
      <c r="J42" s="11"/>
      <c r="K42" s="11"/>
      <c r="L42" s="11"/>
      <c r="M42" s="11"/>
      <c r="N42" s="11"/>
      <c r="O42" s="11"/>
      <c r="P42" s="11"/>
      <c r="Q42" s="11"/>
      <c r="R42" s="11"/>
      <c r="S42" s="11"/>
      <c r="T42" s="11"/>
      <c r="U42" s="11"/>
      <c r="V42" s="11"/>
    </row>
    <row r="43" ht="15.75" customHeight="1">
      <c r="A43" s="11"/>
      <c r="B43" s="23">
        <v>0.8901</v>
      </c>
      <c r="C43" s="11"/>
      <c r="D43" s="75">
        <f t="shared" si="1"/>
        <v>1</v>
      </c>
      <c r="E43" s="13"/>
      <c r="F43" s="11"/>
      <c r="G43" s="11"/>
      <c r="H43" s="11"/>
      <c r="I43" s="11"/>
      <c r="J43" s="11"/>
      <c r="K43" s="11"/>
      <c r="L43" s="11"/>
      <c r="M43" s="11"/>
      <c r="N43" s="11"/>
      <c r="O43" s="11"/>
      <c r="P43" s="11"/>
      <c r="Q43" s="11"/>
      <c r="R43" s="11"/>
      <c r="S43" s="11"/>
      <c r="T43" s="11"/>
      <c r="U43" s="11"/>
      <c r="V43" s="11"/>
    </row>
    <row r="44" ht="15.75" customHeight="1">
      <c r="A44" s="11"/>
      <c r="B44" s="23">
        <v>0.8405</v>
      </c>
      <c r="C44" s="11"/>
      <c r="D44" s="74">
        <f t="shared" si="1"/>
        <v>0</v>
      </c>
      <c r="E44" s="13">
        <v>1.0</v>
      </c>
      <c r="F44" s="11"/>
      <c r="G44" s="11"/>
      <c r="H44" s="11"/>
      <c r="I44" s="11"/>
      <c r="J44" s="11"/>
      <c r="K44" s="11"/>
      <c r="L44" s="11"/>
      <c r="M44" s="11"/>
      <c r="N44" s="11"/>
      <c r="O44" s="11"/>
      <c r="P44" s="11"/>
      <c r="Q44" s="11"/>
      <c r="R44" s="11"/>
      <c r="S44" s="11"/>
      <c r="T44" s="11"/>
      <c r="U44" s="11"/>
      <c r="V44" s="11"/>
    </row>
    <row r="45" ht="15.75" customHeight="1">
      <c r="A45" s="11"/>
      <c r="B45" s="23">
        <v>0.4532</v>
      </c>
      <c r="C45" s="11"/>
      <c r="D45" s="74">
        <f t="shared" si="1"/>
        <v>0</v>
      </c>
      <c r="E45" s="13"/>
      <c r="F45" s="11"/>
      <c r="G45" s="11"/>
      <c r="H45" s="11"/>
      <c r="I45" s="11"/>
      <c r="J45" s="11"/>
      <c r="K45" s="11"/>
      <c r="L45" s="11"/>
      <c r="M45" s="11"/>
      <c r="N45" s="11"/>
      <c r="O45" s="11"/>
      <c r="P45" s="11"/>
      <c r="Q45" s="11"/>
      <c r="R45" s="11"/>
      <c r="S45" s="11"/>
      <c r="T45" s="11"/>
      <c r="U45" s="11"/>
      <c r="V45" s="11"/>
    </row>
    <row r="46" ht="15.75" customHeight="1">
      <c r="A46" s="11"/>
      <c r="B46" s="23">
        <v>0.8125</v>
      </c>
      <c r="C46" s="11"/>
      <c r="D46" s="74">
        <f t="shared" si="1"/>
        <v>1</v>
      </c>
      <c r="E46" s="13">
        <v>1.0</v>
      </c>
      <c r="F46" s="11"/>
      <c r="G46" s="11"/>
      <c r="H46" s="11"/>
      <c r="I46" s="11"/>
      <c r="J46" s="11"/>
      <c r="K46" s="11"/>
      <c r="L46" s="11"/>
      <c r="M46" s="11"/>
      <c r="N46" s="11"/>
      <c r="O46" s="11"/>
      <c r="P46" s="11"/>
      <c r="Q46" s="11"/>
      <c r="R46" s="11"/>
      <c r="S46" s="11"/>
      <c r="T46" s="11"/>
      <c r="U46" s="11"/>
      <c r="V46" s="11"/>
    </row>
    <row r="47" ht="15.75" customHeight="1">
      <c r="A47" s="11"/>
      <c r="B47" s="23">
        <v>0.1056</v>
      </c>
      <c r="C47" s="11"/>
      <c r="D47" s="75">
        <f t="shared" si="1"/>
        <v>0</v>
      </c>
      <c r="E47" s="13">
        <v>1.0</v>
      </c>
      <c r="F47" s="11"/>
      <c r="G47" s="11"/>
      <c r="H47" s="11"/>
      <c r="I47" s="11"/>
      <c r="J47" s="11"/>
      <c r="K47" s="11"/>
      <c r="L47" s="11"/>
      <c r="M47" s="11"/>
      <c r="N47" s="11"/>
      <c r="O47" s="11"/>
      <c r="P47" s="11"/>
      <c r="Q47" s="11"/>
      <c r="R47" s="11"/>
      <c r="S47" s="11"/>
      <c r="T47" s="11"/>
      <c r="U47" s="11"/>
      <c r="V47" s="11"/>
    </row>
    <row r="48" ht="15.75" customHeight="1">
      <c r="A48" s="11"/>
      <c r="B48" s="23">
        <v>0.0825</v>
      </c>
      <c r="C48" s="11"/>
      <c r="D48" s="75">
        <f t="shared" si="1"/>
        <v>0</v>
      </c>
      <c r="E48" s="13"/>
      <c r="F48" s="11"/>
      <c r="G48" s="11"/>
      <c r="H48" s="11"/>
      <c r="I48" s="11"/>
      <c r="J48" s="11"/>
      <c r="K48" s="11"/>
      <c r="L48" s="11"/>
      <c r="M48" s="11"/>
      <c r="N48" s="11"/>
      <c r="O48" s="11"/>
      <c r="P48" s="11"/>
      <c r="Q48" s="11"/>
      <c r="R48" s="11"/>
      <c r="S48" s="11"/>
      <c r="T48" s="11"/>
      <c r="U48" s="11"/>
      <c r="V48" s="11"/>
    </row>
    <row r="49" ht="15.75" customHeight="1">
      <c r="A49" s="11"/>
      <c r="B49" s="23">
        <v>0.9707</v>
      </c>
      <c r="C49" s="11"/>
      <c r="D49" s="74">
        <f t="shared" si="1"/>
        <v>1</v>
      </c>
      <c r="E49" s="13">
        <v>1.0</v>
      </c>
      <c r="F49" s="11"/>
      <c r="G49" s="11"/>
      <c r="H49" s="11"/>
      <c r="I49" s="11"/>
      <c r="J49" s="11"/>
      <c r="K49" s="11"/>
      <c r="L49" s="11"/>
      <c r="M49" s="11"/>
      <c r="N49" s="11"/>
      <c r="O49" s="11"/>
      <c r="P49" s="11"/>
      <c r="Q49" s="11"/>
      <c r="R49" s="11"/>
      <c r="S49" s="11"/>
      <c r="T49" s="11"/>
      <c r="U49" s="11"/>
      <c r="V49" s="11"/>
    </row>
    <row r="50" ht="15.75" customHeight="1">
      <c r="A50" s="11"/>
      <c r="B50" s="23">
        <v>0.7197</v>
      </c>
      <c r="C50" s="11"/>
      <c r="D50" s="74">
        <f t="shared" si="1"/>
        <v>0</v>
      </c>
      <c r="E50" s="13">
        <v>1.0</v>
      </c>
      <c r="F50" s="11"/>
      <c r="G50" s="11"/>
      <c r="H50" s="11"/>
      <c r="I50" s="11"/>
      <c r="J50" s="11"/>
      <c r="K50" s="11"/>
      <c r="L50" s="11"/>
      <c r="M50" s="11"/>
      <c r="N50" s="11"/>
      <c r="O50" s="11"/>
      <c r="P50" s="11"/>
      <c r="Q50" s="11"/>
      <c r="R50" s="11"/>
      <c r="S50" s="11"/>
      <c r="T50" s="11"/>
      <c r="U50" s="11"/>
      <c r="V50" s="11"/>
    </row>
    <row r="51" ht="15.75" customHeight="1">
      <c r="A51" s="11"/>
      <c r="B51" s="23">
        <v>0.6391</v>
      </c>
      <c r="C51" s="11"/>
      <c r="D51" s="75">
        <f t="shared" si="1"/>
        <v>0</v>
      </c>
      <c r="E51" s="13"/>
      <c r="F51" s="11"/>
      <c r="G51" s="11"/>
      <c r="H51" s="11"/>
      <c r="I51" s="11"/>
      <c r="J51" s="11"/>
      <c r="K51" s="11"/>
      <c r="L51" s="11"/>
      <c r="M51" s="11"/>
      <c r="N51" s="11"/>
      <c r="O51" s="11"/>
      <c r="P51" s="11"/>
      <c r="Q51" s="11"/>
      <c r="R51" s="11"/>
      <c r="S51" s="11"/>
      <c r="T51" s="11"/>
      <c r="U51" s="11"/>
      <c r="V51" s="11"/>
    </row>
    <row r="52" ht="15.75" customHeight="1">
      <c r="A52" s="11"/>
      <c r="B52" s="23">
        <v>0.7598</v>
      </c>
      <c r="C52" s="11"/>
      <c r="D52" s="74">
        <f t="shared" si="1"/>
        <v>1</v>
      </c>
      <c r="E52" s="13">
        <v>1.0</v>
      </c>
      <c r="F52" s="11"/>
      <c r="G52" s="11"/>
      <c r="H52" s="11"/>
      <c r="I52" s="11"/>
      <c r="J52" s="11"/>
      <c r="K52" s="11"/>
      <c r="L52" s="11"/>
      <c r="M52" s="11"/>
      <c r="N52" s="11"/>
      <c r="O52" s="11"/>
      <c r="P52" s="11"/>
      <c r="Q52" s="11"/>
      <c r="R52" s="11"/>
      <c r="S52" s="11"/>
      <c r="T52" s="11"/>
      <c r="U52" s="11"/>
      <c r="V52" s="11"/>
    </row>
    <row r="53" ht="15.75" customHeight="1">
      <c r="A53" s="11"/>
      <c r="B53" s="23">
        <v>0.5691</v>
      </c>
      <c r="C53" s="11"/>
      <c r="D53" s="75">
        <f t="shared" si="1"/>
        <v>0</v>
      </c>
      <c r="E53" s="13">
        <v>1.0</v>
      </c>
      <c r="F53" s="11"/>
      <c r="G53" s="11"/>
      <c r="H53" s="11"/>
      <c r="I53" s="11"/>
      <c r="J53" s="11"/>
      <c r="K53" s="11"/>
      <c r="L53" s="11"/>
      <c r="M53" s="11"/>
      <c r="N53" s="11"/>
      <c r="O53" s="11"/>
      <c r="P53" s="11"/>
      <c r="Q53" s="11"/>
      <c r="R53" s="11"/>
      <c r="S53" s="11"/>
      <c r="T53" s="11"/>
      <c r="U53" s="11"/>
      <c r="V53" s="11"/>
    </row>
    <row r="54" ht="15.75" customHeight="1">
      <c r="A54" s="11"/>
      <c r="B54" s="23">
        <v>0.3907</v>
      </c>
      <c r="C54" s="11"/>
      <c r="D54" s="74">
        <f t="shared" si="1"/>
        <v>0</v>
      </c>
      <c r="E54" s="13"/>
      <c r="F54" s="11"/>
      <c r="G54" s="11"/>
      <c r="H54" s="11"/>
      <c r="I54" s="11"/>
      <c r="J54" s="11"/>
      <c r="K54" s="11"/>
      <c r="L54" s="11"/>
      <c r="M54" s="11"/>
      <c r="N54" s="11"/>
      <c r="O54" s="11"/>
      <c r="P54" s="11"/>
      <c r="Q54" s="11"/>
      <c r="R54" s="11"/>
      <c r="S54" s="11"/>
      <c r="T54" s="11"/>
      <c r="U54" s="11"/>
      <c r="V54" s="11"/>
    </row>
    <row r="55" ht="15.75" customHeight="1">
      <c r="A55" s="11"/>
      <c r="B55" s="23">
        <v>0.8043</v>
      </c>
      <c r="C55" s="11"/>
      <c r="D55" s="74">
        <f t="shared" si="1"/>
        <v>1</v>
      </c>
      <c r="E55" s="13">
        <v>1.0</v>
      </c>
      <c r="F55" s="11"/>
      <c r="G55" s="11"/>
      <c r="H55" s="11"/>
      <c r="I55" s="11"/>
      <c r="J55" s="11"/>
      <c r="K55" s="11"/>
      <c r="L55" s="11"/>
      <c r="M55" s="11"/>
      <c r="N55" s="11"/>
      <c r="O55" s="11"/>
      <c r="P55" s="11"/>
      <c r="Q55" s="11"/>
      <c r="R55" s="11"/>
      <c r="S55" s="11"/>
      <c r="T55" s="11"/>
      <c r="U55" s="11"/>
      <c r="V55" s="11"/>
    </row>
    <row r="56" ht="15.75" customHeight="1">
      <c r="A56" s="11"/>
      <c r="B56" s="23">
        <v>0.7109</v>
      </c>
      <c r="C56" s="11"/>
      <c r="D56" s="74">
        <f t="shared" si="1"/>
        <v>0</v>
      </c>
      <c r="E56" s="13">
        <v>1.0</v>
      </c>
      <c r="F56" s="11"/>
      <c r="G56" s="11"/>
      <c r="H56" s="11"/>
      <c r="I56" s="11"/>
      <c r="J56" s="11"/>
      <c r="K56" s="11"/>
      <c r="L56" s="11"/>
      <c r="M56" s="11"/>
      <c r="N56" s="11"/>
      <c r="O56" s="11"/>
      <c r="P56" s="11"/>
      <c r="Q56" s="11"/>
      <c r="R56" s="11"/>
      <c r="S56" s="11"/>
      <c r="T56" s="11"/>
      <c r="U56" s="11"/>
      <c r="V56" s="11"/>
    </row>
    <row r="57" ht="15.75" customHeight="1">
      <c r="A57" s="11"/>
      <c r="B57" s="23">
        <v>0.2156</v>
      </c>
      <c r="C57" s="11"/>
      <c r="D57" s="75">
        <f t="shared" si="1"/>
        <v>0</v>
      </c>
      <c r="E57" s="13"/>
      <c r="F57" s="11"/>
      <c r="G57" s="11"/>
      <c r="H57" s="11"/>
      <c r="I57" s="11"/>
      <c r="J57" s="11"/>
      <c r="K57" s="11"/>
      <c r="L57" s="11"/>
      <c r="M57" s="11"/>
      <c r="N57" s="11"/>
      <c r="O57" s="11"/>
      <c r="P57" s="11"/>
      <c r="Q57" s="11"/>
      <c r="R57" s="11"/>
      <c r="S57" s="11"/>
      <c r="T57" s="11"/>
      <c r="U57" s="11"/>
      <c r="V57" s="11"/>
    </row>
    <row r="58" ht="15.75" customHeight="1">
      <c r="A58" s="11"/>
      <c r="B58" s="23">
        <v>0.3768</v>
      </c>
      <c r="C58" s="11"/>
      <c r="D58" s="75">
        <f t="shared" si="1"/>
        <v>1</v>
      </c>
      <c r="E58" s="13">
        <v>1.0</v>
      </c>
      <c r="F58" s="11"/>
      <c r="G58" s="11"/>
      <c r="H58" s="11"/>
      <c r="I58" s="11"/>
      <c r="J58" s="11"/>
      <c r="K58" s="11"/>
      <c r="L58" s="11"/>
      <c r="M58" s="11"/>
      <c r="N58" s="11"/>
      <c r="O58" s="11"/>
      <c r="P58" s="11"/>
      <c r="Q58" s="11"/>
      <c r="R58" s="11"/>
      <c r="S58" s="11"/>
      <c r="T58" s="11"/>
      <c r="U58" s="11"/>
      <c r="V58" s="11"/>
    </row>
    <row r="59" ht="15.75" customHeight="1">
      <c r="A59" s="11"/>
      <c r="B59" s="23">
        <v>0.1353</v>
      </c>
      <c r="C59" s="11"/>
      <c r="D59" s="74">
        <f t="shared" si="1"/>
        <v>0</v>
      </c>
      <c r="E59" s="13">
        <v>1.0</v>
      </c>
      <c r="F59" s="11"/>
      <c r="G59" s="11"/>
      <c r="H59" s="11"/>
      <c r="I59" s="11"/>
      <c r="J59" s="11"/>
      <c r="K59" s="11"/>
      <c r="L59" s="11"/>
      <c r="M59" s="11"/>
      <c r="N59" s="11"/>
      <c r="O59" s="11"/>
      <c r="P59" s="11"/>
      <c r="Q59" s="11"/>
      <c r="R59" s="11"/>
      <c r="S59" s="11"/>
      <c r="T59" s="11"/>
      <c r="U59" s="11"/>
      <c r="V59" s="11"/>
    </row>
    <row r="60" ht="15.75" customHeight="1">
      <c r="A60" s="11"/>
      <c r="B60" s="23">
        <v>0.5119</v>
      </c>
      <c r="C60" s="11"/>
      <c r="D60" s="74">
        <f t="shared" si="1"/>
        <v>1</v>
      </c>
      <c r="E60" s="13">
        <v>1.0</v>
      </c>
      <c r="F60" s="11"/>
      <c r="G60" s="11"/>
      <c r="H60" s="11"/>
      <c r="I60" s="11"/>
      <c r="J60" s="11"/>
      <c r="K60" s="11"/>
      <c r="L60" s="11"/>
      <c r="M60" s="11"/>
      <c r="N60" s="11"/>
      <c r="O60" s="11"/>
      <c r="P60" s="11"/>
      <c r="Q60" s="11"/>
      <c r="R60" s="11"/>
      <c r="S60" s="11"/>
      <c r="T60" s="11"/>
      <c r="U60" s="11"/>
      <c r="V60" s="11"/>
    </row>
    <row r="61" ht="15.75" customHeight="1">
      <c r="A61" s="11"/>
      <c r="B61" s="23">
        <v>0.6377</v>
      </c>
      <c r="C61" s="11"/>
      <c r="D61" s="75">
        <f t="shared" si="1"/>
        <v>1</v>
      </c>
      <c r="E61" s="13"/>
      <c r="F61" s="11"/>
      <c r="G61" s="11"/>
      <c r="H61" s="11"/>
      <c r="I61" s="11"/>
      <c r="J61" s="11"/>
      <c r="K61" s="11"/>
      <c r="L61" s="11"/>
      <c r="M61" s="11"/>
      <c r="N61" s="11"/>
      <c r="O61" s="11"/>
      <c r="P61" s="11"/>
      <c r="Q61" s="11"/>
      <c r="R61" s="11"/>
      <c r="S61" s="11"/>
      <c r="T61" s="11"/>
      <c r="U61" s="11"/>
      <c r="V61" s="11"/>
    </row>
    <row r="62" ht="15.75" customHeight="1">
      <c r="A62" s="11"/>
      <c r="B62" s="23">
        <v>0.6925</v>
      </c>
      <c r="C62" s="11"/>
      <c r="D62" s="74">
        <f t="shared" si="1"/>
        <v>1</v>
      </c>
      <c r="E62" s="13"/>
      <c r="F62" s="11"/>
      <c r="G62" s="11"/>
      <c r="H62" s="11"/>
      <c r="I62" s="11"/>
      <c r="J62" s="11"/>
      <c r="K62" s="11"/>
      <c r="L62" s="11"/>
      <c r="M62" s="11"/>
      <c r="N62" s="11"/>
      <c r="O62" s="11"/>
      <c r="P62" s="11"/>
      <c r="Q62" s="11"/>
      <c r="R62" s="11"/>
      <c r="S62" s="11"/>
      <c r="T62" s="11"/>
      <c r="U62" s="11"/>
      <c r="V62" s="11"/>
    </row>
    <row r="63" ht="15.75" customHeight="1">
      <c r="A63" s="11"/>
      <c r="B63" s="23">
        <v>0.33</v>
      </c>
      <c r="C63" s="11"/>
      <c r="D63" s="75">
        <f t="shared" si="1"/>
        <v>0</v>
      </c>
      <c r="E63" s="13">
        <v>1.0</v>
      </c>
      <c r="F63" s="11"/>
      <c r="G63" s="11"/>
      <c r="H63" s="11"/>
      <c r="I63" s="11"/>
      <c r="J63" s="11"/>
      <c r="K63" s="11"/>
      <c r="L63" s="11"/>
      <c r="M63" s="11"/>
      <c r="N63" s="11"/>
      <c r="O63" s="11"/>
      <c r="P63" s="11"/>
      <c r="Q63" s="11"/>
      <c r="R63" s="11"/>
      <c r="S63" s="11"/>
      <c r="T63" s="11"/>
      <c r="U63" s="11"/>
      <c r="V63" s="11"/>
    </row>
    <row r="64" ht="15.75" customHeight="1">
      <c r="A64" s="11"/>
      <c r="B64" s="23">
        <v>0.8829</v>
      </c>
      <c r="C64" s="11"/>
      <c r="D64" s="74">
        <f t="shared" si="1"/>
        <v>1</v>
      </c>
      <c r="E64" s="13">
        <v>1.0</v>
      </c>
      <c r="F64" s="11"/>
      <c r="G64" s="11"/>
      <c r="H64" s="11"/>
      <c r="I64" s="11"/>
      <c r="J64" s="11"/>
      <c r="K64" s="11"/>
      <c r="L64" s="11"/>
      <c r="M64" s="11"/>
      <c r="N64" s="11"/>
      <c r="O64" s="11"/>
      <c r="P64" s="11"/>
      <c r="Q64" s="11"/>
      <c r="R64" s="11"/>
      <c r="S64" s="11"/>
      <c r="T64" s="11"/>
      <c r="U64" s="11"/>
      <c r="V64" s="11"/>
    </row>
    <row r="65" ht="15.75" customHeight="1">
      <c r="A65" s="11"/>
      <c r="B65" s="23">
        <v>0.4939</v>
      </c>
      <c r="C65" s="11"/>
      <c r="D65" s="74">
        <f t="shared" si="1"/>
        <v>0</v>
      </c>
      <c r="E65" s="13">
        <v>1.0</v>
      </c>
      <c r="F65" s="11"/>
      <c r="G65" s="11"/>
      <c r="H65" s="11"/>
      <c r="I65" s="11"/>
      <c r="J65" s="11"/>
      <c r="K65" s="11"/>
      <c r="L65" s="11"/>
      <c r="M65" s="11"/>
      <c r="N65" s="11"/>
      <c r="O65" s="11"/>
      <c r="P65" s="11"/>
      <c r="Q65" s="11"/>
      <c r="R65" s="11"/>
      <c r="S65" s="11"/>
      <c r="T65" s="11"/>
      <c r="U65" s="11"/>
      <c r="V65" s="11"/>
    </row>
    <row r="66" ht="15.75" customHeight="1">
      <c r="A66" s="11"/>
      <c r="B66" s="23">
        <v>0.7714</v>
      </c>
      <c r="C66" s="11"/>
      <c r="D66" s="75">
        <f t="shared" si="1"/>
        <v>1</v>
      </c>
      <c r="E66" s="13">
        <v>1.0</v>
      </c>
      <c r="F66" s="11"/>
      <c r="G66" s="11"/>
      <c r="H66" s="11"/>
      <c r="I66" s="11"/>
      <c r="J66" s="11"/>
      <c r="K66" s="11"/>
      <c r="L66" s="11"/>
      <c r="M66" s="11"/>
      <c r="N66" s="11"/>
      <c r="O66" s="11"/>
      <c r="P66" s="11"/>
      <c r="Q66" s="11"/>
      <c r="R66" s="11"/>
      <c r="S66" s="11"/>
      <c r="T66" s="11"/>
      <c r="U66" s="11"/>
      <c r="V66" s="11"/>
    </row>
    <row r="67" ht="15.75" customHeight="1">
      <c r="A67" s="11"/>
      <c r="B67" s="23">
        <v>0.1274</v>
      </c>
      <c r="C67" s="11"/>
      <c r="D67" s="75">
        <f t="shared" si="1"/>
        <v>0</v>
      </c>
      <c r="E67" s="13">
        <v>1.0</v>
      </c>
      <c r="F67" s="11"/>
      <c r="G67" s="11"/>
      <c r="H67" s="11"/>
      <c r="I67" s="11"/>
      <c r="J67" s="11"/>
      <c r="K67" s="11"/>
      <c r="L67" s="11"/>
      <c r="M67" s="11"/>
      <c r="N67" s="11"/>
      <c r="O67" s="11"/>
      <c r="P67" s="11"/>
      <c r="Q67" s="11"/>
      <c r="R67" s="11"/>
      <c r="S67" s="11"/>
      <c r="T67" s="11"/>
      <c r="U67" s="11"/>
      <c r="V67" s="11"/>
    </row>
    <row r="68" ht="15.75" customHeight="1">
      <c r="A68" s="11"/>
      <c r="B68" s="23">
        <v>0.1317</v>
      </c>
      <c r="C68" s="11"/>
      <c r="D68" s="75">
        <f t="shared" si="1"/>
        <v>1</v>
      </c>
      <c r="E68" s="13">
        <v>1.0</v>
      </c>
      <c r="F68" s="11"/>
      <c r="G68" s="11"/>
      <c r="H68" s="11"/>
      <c r="I68" s="11"/>
      <c r="J68" s="11"/>
      <c r="K68" s="11"/>
      <c r="L68" s="11"/>
      <c r="M68" s="11"/>
      <c r="N68" s="11"/>
      <c r="O68" s="11"/>
      <c r="P68" s="11"/>
      <c r="Q68" s="11"/>
      <c r="R68" s="11"/>
      <c r="S68" s="11"/>
      <c r="T68" s="11"/>
      <c r="U68" s="11"/>
      <c r="V68" s="11"/>
    </row>
    <row r="69" ht="15.75" customHeight="1">
      <c r="A69" s="11"/>
      <c r="B69" s="23">
        <v>0.3387</v>
      </c>
      <c r="C69" s="11"/>
      <c r="D69" s="74">
        <f t="shared" si="1"/>
        <v>1</v>
      </c>
      <c r="E69" s="13"/>
      <c r="F69" s="11"/>
      <c r="G69" s="11"/>
      <c r="H69" s="11"/>
      <c r="I69" s="11"/>
      <c r="J69" s="11"/>
      <c r="K69" s="11"/>
      <c r="L69" s="11"/>
      <c r="M69" s="11"/>
      <c r="N69" s="11"/>
      <c r="O69" s="11"/>
      <c r="P69" s="11"/>
      <c r="Q69" s="11"/>
      <c r="R69" s="11"/>
      <c r="S69" s="11"/>
      <c r="T69" s="11"/>
      <c r="U69" s="11"/>
      <c r="V69" s="11"/>
    </row>
    <row r="70" ht="15.75" customHeight="1">
      <c r="A70" s="11"/>
      <c r="B70" s="23">
        <v>0.3016</v>
      </c>
      <c r="C70" s="11"/>
      <c r="D70" s="74">
        <f t="shared" si="1"/>
        <v>0</v>
      </c>
      <c r="E70" s="13">
        <v>1.0</v>
      </c>
      <c r="F70" s="11"/>
      <c r="G70" s="11"/>
      <c r="H70" s="11"/>
      <c r="I70" s="11"/>
      <c r="J70" s="11"/>
      <c r="K70" s="11"/>
      <c r="L70" s="11"/>
      <c r="M70" s="11"/>
      <c r="N70" s="11"/>
      <c r="O70" s="11"/>
      <c r="P70" s="11"/>
      <c r="Q70" s="11"/>
      <c r="R70" s="11"/>
      <c r="S70" s="11"/>
      <c r="T70" s="11"/>
      <c r="U70" s="11"/>
      <c r="V70" s="11"/>
    </row>
    <row r="71" ht="15.75" customHeight="1">
      <c r="A71" s="11"/>
      <c r="B71" s="23">
        <v>0.516</v>
      </c>
      <c r="C71" s="11"/>
      <c r="D71" s="75">
        <f t="shared" si="1"/>
        <v>1</v>
      </c>
      <c r="E71" s="13">
        <v>1.0</v>
      </c>
      <c r="F71" s="11"/>
      <c r="G71" s="11"/>
      <c r="H71" s="11"/>
      <c r="I71" s="11"/>
      <c r="J71" s="11"/>
      <c r="K71" s="11"/>
      <c r="L71" s="11"/>
      <c r="M71" s="11"/>
      <c r="N71" s="11"/>
      <c r="O71" s="11"/>
      <c r="P71" s="11"/>
      <c r="Q71" s="11"/>
      <c r="R71" s="11"/>
      <c r="S71" s="11"/>
      <c r="T71" s="11"/>
      <c r="U71" s="11"/>
      <c r="V71" s="11"/>
    </row>
    <row r="72" ht="15.75" customHeight="1">
      <c r="A72" s="11"/>
      <c r="B72" s="23">
        <v>0.835</v>
      </c>
      <c r="C72" s="11"/>
      <c r="D72" s="74">
        <f t="shared" si="1"/>
        <v>1</v>
      </c>
      <c r="E72" s="13"/>
      <c r="F72" s="11"/>
      <c r="G72" s="11"/>
      <c r="H72" s="11"/>
      <c r="I72" s="11"/>
      <c r="J72" s="11"/>
      <c r="K72" s="11"/>
      <c r="L72" s="11"/>
      <c r="M72" s="11"/>
      <c r="N72" s="11"/>
      <c r="O72" s="11"/>
      <c r="P72" s="11"/>
      <c r="Q72" s="11"/>
      <c r="R72" s="11"/>
      <c r="S72" s="11"/>
      <c r="T72" s="11"/>
      <c r="U72" s="11"/>
      <c r="V72" s="11"/>
    </row>
    <row r="73" ht="15.75" customHeight="1">
      <c r="A73" s="11"/>
      <c r="B73" s="23">
        <v>0.1885</v>
      </c>
      <c r="C73" s="11"/>
      <c r="D73" s="74">
        <f t="shared" si="1"/>
        <v>0</v>
      </c>
      <c r="E73" s="13">
        <v>1.0</v>
      </c>
      <c r="F73" s="11"/>
      <c r="G73" s="11"/>
      <c r="H73" s="11"/>
      <c r="I73" s="11"/>
      <c r="J73" s="11"/>
      <c r="K73" s="11"/>
      <c r="L73" s="11"/>
      <c r="M73" s="11"/>
      <c r="N73" s="11"/>
      <c r="O73" s="11"/>
      <c r="P73" s="11"/>
      <c r="Q73" s="11"/>
      <c r="R73" s="11"/>
      <c r="S73" s="11"/>
      <c r="T73" s="11"/>
      <c r="U73" s="11"/>
      <c r="V73" s="11"/>
    </row>
    <row r="74" ht="15.75" customHeight="1">
      <c r="A74" s="11"/>
      <c r="B74" s="23">
        <v>0.0725</v>
      </c>
      <c r="C74" s="11"/>
      <c r="D74" s="74">
        <f t="shared" si="1"/>
        <v>0</v>
      </c>
      <c r="E74" s="13"/>
      <c r="F74" s="11"/>
      <c r="G74" s="11"/>
      <c r="H74" s="11"/>
      <c r="I74" s="11"/>
      <c r="J74" s="11"/>
      <c r="K74" s="11"/>
      <c r="L74" s="11"/>
      <c r="M74" s="11"/>
      <c r="N74" s="11"/>
      <c r="O74" s="11"/>
      <c r="P74" s="11"/>
      <c r="Q74" s="11"/>
      <c r="R74" s="11"/>
      <c r="S74" s="11"/>
      <c r="T74" s="11"/>
      <c r="U74" s="11"/>
      <c r="V74" s="11"/>
    </row>
    <row r="75" ht="15.75" customHeight="1">
      <c r="A75" s="11"/>
      <c r="B75" s="23">
        <v>0.4894</v>
      </c>
      <c r="C75" s="11"/>
      <c r="D75" s="74">
        <f t="shared" si="1"/>
        <v>1</v>
      </c>
      <c r="E75" s="13">
        <v>1.0</v>
      </c>
      <c r="F75" s="11"/>
      <c r="G75" s="11"/>
      <c r="H75" s="11"/>
      <c r="I75" s="11"/>
      <c r="J75" s="11"/>
      <c r="K75" s="11"/>
      <c r="L75" s="11"/>
      <c r="M75" s="11"/>
      <c r="N75" s="11"/>
      <c r="O75" s="11"/>
      <c r="P75" s="11"/>
      <c r="Q75" s="11"/>
      <c r="R75" s="11"/>
      <c r="S75" s="11"/>
      <c r="T75" s="11"/>
      <c r="U75" s="11"/>
      <c r="V75" s="11"/>
    </row>
    <row r="76" ht="15.75" customHeight="1">
      <c r="A76" s="11"/>
      <c r="B76" s="23">
        <v>0.5548</v>
      </c>
      <c r="C76" s="11"/>
      <c r="D76" s="75">
        <f t="shared" si="1"/>
        <v>1</v>
      </c>
      <c r="E76" s="13"/>
      <c r="F76" s="11"/>
      <c r="G76" s="11"/>
      <c r="H76" s="11"/>
      <c r="I76" s="11"/>
      <c r="J76" s="11"/>
      <c r="K76" s="11"/>
      <c r="L76" s="11"/>
      <c r="M76" s="11"/>
      <c r="N76" s="11"/>
      <c r="O76" s="11"/>
      <c r="P76" s="11"/>
      <c r="Q76" s="11"/>
      <c r="R76" s="11"/>
      <c r="S76" s="11"/>
      <c r="T76" s="11"/>
      <c r="U76" s="11"/>
      <c r="V76" s="11"/>
    </row>
    <row r="77" ht="15.75" customHeight="1">
      <c r="A77" s="11"/>
      <c r="B77" s="23">
        <v>0.7025</v>
      </c>
      <c r="C77" s="11"/>
      <c r="D77" s="75">
        <f t="shared" si="1"/>
        <v>1</v>
      </c>
      <c r="E77" s="13"/>
      <c r="F77" s="11"/>
      <c r="G77" s="11"/>
      <c r="H77" s="11"/>
      <c r="I77" s="11"/>
      <c r="J77" s="11"/>
      <c r="K77" s="11"/>
      <c r="L77" s="11"/>
      <c r="M77" s="11"/>
      <c r="N77" s="11"/>
      <c r="O77" s="11"/>
      <c r="P77" s="11"/>
      <c r="Q77" s="11"/>
      <c r="R77" s="11"/>
      <c r="S77" s="11"/>
      <c r="T77" s="11"/>
      <c r="U77" s="11"/>
      <c r="V77" s="11"/>
    </row>
    <row r="78" ht="15.75" customHeight="1">
      <c r="A78" s="11"/>
      <c r="B78" s="23">
        <v>0.8113</v>
      </c>
      <c r="C78" s="11"/>
      <c r="D78" s="74">
        <f t="shared" si="1"/>
        <v>1</v>
      </c>
      <c r="E78" s="13"/>
      <c r="F78" s="11"/>
      <c r="G78" s="11"/>
      <c r="H78" s="11"/>
      <c r="I78" s="11"/>
      <c r="J78" s="11"/>
      <c r="K78" s="11"/>
      <c r="L78" s="11"/>
      <c r="M78" s="11"/>
      <c r="N78" s="11"/>
      <c r="O78" s="11"/>
      <c r="P78" s="11"/>
      <c r="Q78" s="11"/>
      <c r="R78" s="11"/>
      <c r="S78" s="11"/>
      <c r="T78" s="11"/>
      <c r="U78" s="11"/>
      <c r="V78" s="11"/>
    </row>
    <row r="79" ht="15.75" customHeight="1">
      <c r="A79" s="11"/>
      <c r="B79" s="23">
        <v>0.0478</v>
      </c>
      <c r="C79" s="11"/>
      <c r="D79" s="74">
        <f t="shared" si="1"/>
        <v>0</v>
      </c>
      <c r="E79" s="13">
        <v>1.0</v>
      </c>
      <c r="F79" s="11"/>
      <c r="G79" s="11"/>
      <c r="H79" s="11"/>
      <c r="I79" s="11"/>
      <c r="J79" s="11"/>
      <c r="K79" s="11"/>
      <c r="L79" s="11"/>
      <c r="M79" s="11"/>
      <c r="N79" s="11"/>
      <c r="O79" s="11"/>
      <c r="P79" s="11"/>
      <c r="Q79" s="11"/>
      <c r="R79" s="11"/>
      <c r="S79" s="11"/>
      <c r="T79" s="11"/>
      <c r="U79" s="11"/>
      <c r="V79" s="11"/>
    </row>
    <row r="80" ht="15.75" customHeight="1">
      <c r="A80" s="11"/>
      <c r="B80" s="23">
        <v>0.3006</v>
      </c>
      <c r="C80" s="11"/>
      <c r="D80" s="75">
        <f t="shared" si="1"/>
        <v>1</v>
      </c>
      <c r="E80" s="13">
        <v>1.0</v>
      </c>
      <c r="F80" s="11"/>
      <c r="G80" s="11"/>
      <c r="H80" s="11"/>
      <c r="I80" s="11"/>
      <c r="J80" s="11"/>
      <c r="K80" s="11"/>
      <c r="L80" s="11"/>
      <c r="M80" s="11"/>
      <c r="N80" s="11"/>
      <c r="O80" s="11"/>
      <c r="P80" s="11"/>
      <c r="Q80" s="11"/>
      <c r="R80" s="11"/>
      <c r="S80" s="11"/>
      <c r="T80" s="11"/>
      <c r="U80" s="11"/>
      <c r="V80" s="11"/>
    </row>
    <row r="81" ht="15.75" customHeight="1">
      <c r="A81" s="11"/>
      <c r="B81" s="23">
        <v>0.4678</v>
      </c>
      <c r="C81" s="11"/>
      <c r="D81" s="74">
        <f t="shared" si="1"/>
        <v>1</v>
      </c>
      <c r="E81" s="13"/>
      <c r="F81" s="11"/>
      <c r="G81" s="11"/>
      <c r="H81" s="11"/>
      <c r="I81" s="11"/>
      <c r="J81" s="11"/>
      <c r="K81" s="11"/>
      <c r="L81" s="11"/>
      <c r="M81" s="11"/>
      <c r="N81" s="11"/>
      <c r="O81" s="11"/>
      <c r="P81" s="11"/>
      <c r="Q81" s="11"/>
      <c r="R81" s="11"/>
      <c r="S81" s="11"/>
      <c r="T81" s="11"/>
      <c r="U81" s="11"/>
      <c r="V81" s="11"/>
    </row>
    <row r="82" ht="15.75" customHeight="1">
      <c r="A82" s="11"/>
      <c r="B82" s="23">
        <v>0.5152</v>
      </c>
      <c r="C82" s="11"/>
      <c r="D82" s="75">
        <f t="shared" si="1"/>
        <v>1</v>
      </c>
      <c r="E82" s="13"/>
      <c r="F82" s="11"/>
      <c r="G82" s="11"/>
      <c r="H82" s="11"/>
      <c r="I82" s="11"/>
      <c r="J82" s="11"/>
      <c r="K82" s="11"/>
      <c r="L82" s="11"/>
      <c r="M82" s="11"/>
      <c r="N82" s="11"/>
      <c r="O82" s="11"/>
      <c r="P82" s="11"/>
      <c r="Q82" s="11"/>
      <c r="R82" s="11"/>
      <c r="S82" s="11"/>
      <c r="T82" s="11"/>
      <c r="U82" s="11"/>
      <c r="V82" s="11"/>
    </row>
    <row r="83" ht="15.75" customHeight="1">
      <c r="A83" s="11"/>
      <c r="B83" s="23">
        <v>0.7965</v>
      </c>
      <c r="C83" s="11"/>
      <c r="D83" s="74">
        <f t="shared" si="1"/>
        <v>1</v>
      </c>
      <c r="E83" s="13"/>
      <c r="F83" s="11"/>
      <c r="G83" s="11"/>
      <c r="H83" s="11"/>
      <c r="I83" s="11"/>
      <c r="J83" s="11"/>
      <c r="K83" s="11"/>
      <c r="L83" s="11"/>
      <c r="M83" s="11"/>
      <c r="N83" s="11"/>
      <c r="O83" s="11"/>
      <c r="P83" s="11"/>
      <c r="Q83" s="11"/>
      <c r="R83" s="11"/>
      <c r="S83" s="11"/>
      <c r="T83" s="11"/>
      <c r="U83" s="11"/>
      <c r="V83" s="11"/>
    </row>
    <row r="84" ht="15.75" customHeight="1">
      <c r="A84" s="11"/>
      <c r="B84" s="23">
        <v>0.3355</v>
      </c>
      <c r="C84" s="11"/>
      <c r="D84" s="74">
        <f t="shared" si="1"/>
        <v>0</v>
      </c>
      <c r="E84" s="13">
        <v>1.0</v>
      </c>
      <c r="F84" s="11"/>
      <c r="G84" s="11"/>
      <c r="H84" s="11"/>
      <c r="I84" s="11"/>
      <c r="J84" s="11"/>
      <c r="K84" s="11"/>
      <c r="L84" s="11"/>
      <c r="M84" s="11"/>
      <c r="N84" s="11"/>
      <c r="O84" s="11"/>
      <c r="P84" s="11"/>
      <c r="Q84" s="11"/>
      <c r="R84" s="11"/>
      <c r="S84" s="11"/>
      <c r="T84" s="11"/>
      <c r="U84" s="11"/>
      <c r="V84" s="11"/>
    </row>
    <row r="85" ht="15.75" customHeight="1">
      <c r="A85" s="11"/>
      <c r="B85" s="23">
        <v>0.1476</v>
      </c>
      <c r="C85" s="11"/>
      <c r="D85" s="75">
        <f t="shared" si="1"/>
        <v>0</v>
      </c>
      <c r="E85" s="13"/>
      <c r="F85" s="11"/>
      <c r="G85" s="11"/>
      <c r="H85" s="11"/>
      <c r="I85" s="11"/>
      <c r="J85" s="11"/>
      <c r="K85" s="11"/>
      <c r="L85" s="11"/>
      <c r="M85" s="11"/>
      <c r="N85" s="11"/>
      <c r="O85" s="11"/>
      <c r="P85" s="11"/>
      <c r="Q85" s="11"/>
      <c r="R85" s="11"/>
      <c r="S85" s="11"/>
      <c r="T85" s="11"/>
      <c r="U85" s="11"/>
      <c r="V85" s="11"/>
    </row>
    <row r="86" ht="15.75" customHeight="1">
      <c r="A86" s="11"/>
      <c r="B86" s="23">
        <v>0.1039</v>
      </c>
      <c r="C86" s="11"/>
      <c r="D86" s="74">
        <f t="shared" si="1"/>
        <v>0</v>
      </c>
      <c r="E86" s="13"/>
      <c r="F86" s="11"/>
      <c r="G86" s="11"/>
      <c r="H86" s="11"/>
      <c r="I86" s="11"/>
      <c r="J86" s="11"/>
      <c r="K86" s="11"/>
      <c r="L86" s="11"/>
      <c r="M86" s="11"/>
      <c r="N86" s="11"/>
      <c r="O86" s="11"/>
      <c r="P86" s="11"/>
      <c r="Q86" s="11"/>
      <c r="R86" s="11"/>
      <c r="S86" s="11"/>
      <c r="T86" s="11"/>
      <c r="U86" s="11"/>
      <c r="V86" s="11"/>
    </row>
    <row r="87" ht="15.75" customHeight="1">
      <c r="A87" s="11"/>
      <c r="B87" s="23">
        <v>7.0E-4</v>
      </c>
      <c r="C87" s="11"/>
      <c r="D87" s="75">
        <f t="shared" si="1"/>
        <v>0</v>
      </c>
      <c r="E87" s="13"/>
      <c r="F87" s="11"/>
      <c r="G87" s="11"/>
      <c r="H87" s="11"/>
      <c r="I87" s="11"/>
      <c r="J87" s="11"/>
      <c r="K87" s="11"/>
      <c r="L87" s="11"/>
      <c r="M87" s="11"/>
      <c r="N87" s="11"/>
      <c r="O87" s="11"/>
      <c r="P87" s="11"/>
      <c r="Q87" s="11"/>
      <c r="R87" s="11"/>
      <c r="S87" s="11"/>
      <c r="T87" s="11"/>
      <c r="U87" s="11"/>
      <c r="V87" s="11"/>
    </row>
    <row r="88" ht="15.75" customHeight="1">
      <c r="A88" s="11"/>
      <c r="B88" s="23">
        <v>0.0336</v>
      </c>
      <c r="C88" s="11"/>
      <c r="D88" s="75">
        <f t="shared" si="1"/>
        <v>1</v>
      </c>
      <c r="E88" s="13">
        <v>1.0</v>
      </c>
      <c r="F88" s="11"/>
      <c r="G88" s="11"/>
      <c r="H88" s="11"/>
      <c r="I88" s="11"/>
      <c r="J88" s="11"/>
      <c r="K88" s="11"/>
      <c r="L88" s="11"/>
      <c r="M88" s="11"/>
      <c r="N88" s="11"/>
      <c r="O88" s="11"/>
      <c r="P88" s="11"/>
      <c r="Q88" s="11"/>
      <c r="R88" s="11"/>
      <c r="S88" s="11"/>
      <c r="T88" s="11"/>
      <c r="U88" s="11"/>
      <c r="V88" s="11"/>
    </row>
    <row r="89" ht="15.75" customHeight="1">
      <c r="A89" s="11"/>
      <c r="B89" s="23">
        <v>0.6171</v>
      </c>
      <c r="C89" s="11"/>
      <c r="D89" s="74">
        <f t="shared" si="1"/>
        <v>1</v>
      </c>
      <c r="E89" s="13"/>
      <c r="F89" s="11"/>
      <c r="G89" s="11"/>
      <c r="H89" s="11"/>
      <c r="I89" s="11"/>
      <c r="J89" s="11"/>
      <c r="K89" s="11"/>
      <c r="L89" s="11"/>
      <c r="M89" s="11"/>
      <c r="N89" s="11"/>
      <c r="O89" s="11"/>
      <c r="P89" s="11"/>
      <c r="Q89" s="11"/>
      <c r="R89" s="11"/>
      <c r="S89" s="11"/>
      <c r="T89" s="11"/>
      <c r="U89" s="11"/>
      <c r="V89" s="11"/>
    </row>
    <row r="90" ht="15.75" customHeight="1">
      <c r="A90" s="11"/>
      <c r="B90" s="23">
        <v>0.701</v>
      </c>
      <c r="C90" s="11"/>
      <c r="D90" s="74">
        <f t="shared" si="1"/>
        <v>1</v>
      </c>
      <c r="E90" s="13"/>
      <c r="F90" s="11"/>
      <c r="G90" s="11"/>
      <c r="H90" s="11"/>
      <c r="I90" s="11"/>
      <c r="J90" s="11"/>
      <c r="K90" s="11"/>
      <c r="L90" s="11"/>
      <c r="M90" s="11"/>
      <c r="N90" s="11"/>
      <c r="O90" s="11"/>
      <c r="P90" s="11"/>
      <c r="Q90" s="11"/>
      <c r="R90" s="11"/>
      <c r="S90" s="11"/>
      <c r="T90" s="11"/>
      <c r="U90" s="11"/>
      <c r="V90" s="11"/>
    </row>
    <row r="91" ht="15.75" customHeight="1">
      <c r="A91" s="11"/>
      <c r="B91" s="23">
        <v>0.7391</v>
      </c>
      <c r="C91" s="11"/>
      <c r="D91" s="74">
        <f t="shared" si="1"/>
        <v>1</v>
      </c>
      <c r="E91" s="13"/>
      <c r="F91" s="11"/>
      <c r="G91" s="11"/>
      <c r="H91" s="11"/>
      <c r="I91" s="11"/>
      <c r="J91" s="11"/>
      <c r="K91" s="11"/>
      <c r="L91" s="11"/>
      <c r="M91" s="11"/>
      <c r="N91" s="11"/>
      <c r="O91" s="11"/>
      <c r="P91" s="11"/>
      <c r="Q91" s="11"/>
      <c r="R91" s="11"/>
      <c r="S91" s="11"/>
      <c r="T91" s="11"/>
      <c r="U91" s="11"/>
      <c r="V91" s="11"/>
    </row>
    <row r="92" ht="15.75" customHeight="1">
      <c r="A92" s="11"/>
      <c r="B92" s="23">
        <v>0.5728</v>
      </c>
      <c r="C92" s="11"/>
      <c r="D92" s="74">
        <f t="shared" si="1"/>
        <v>0</v>
      </c>
      <c r="E92" s="13">
        <v>1.0</v>
      </c>
      <c r="F92" s="11"/>
      <c r="G92" s="11"/>
      <c r="H92" s="11"/>
      <c r="I92" s="11"/>
      <c r="J92" s="11"/>
      <c r="K92" s="11"/>
      <c r="L92" s="11"/>
      <c r="M92" s="11"/>
      <c r="N92" s="11"/>
      <c r="O92" s="11"/>
      <c r="P92" s="11"/>
      <c r="Q92" s="11"/>
      <c r="R92" s="11"/>
      <c r="S92" s="11"/>
      <c r="T92" s="11"/>
      <c r="U92" s="11"/>
      <c r="V92" s="11"/>
    </row>
    <row r="93" ht="15.75" customHeight="1">
      <c r="A93" s="11"/>
      <c r="B93" s="23">
        <v>0.5688</v>
      </c>
      <c r="C93" s="11"/>
      <c r="D93" s="75">
        <f t="shared" si="1"/>
        <v>0</v>
      </c>
      <c r="E93" s="13"/>
      <c r="F93" s="11"/>
      <c r="G93" s="11"/>
      <c r="H93" s="11"/>
      <c r="I93" s="11"/>
      <c r="J93" s="11"/>
      <c r="K93" s="11"/>
      <c r="L93" s="11"/>
      <c r="M93" s="11"/>
      <c r="N93" s="11"/>
      <c r="O93" s="11"/>
      <c r="P93" s="11"/>
      <c r="Q93" s="11"/>
      <c r="R93" s="11"/>
      <c r="S93" s="11"/>
      <c r="T93" s="11"/>
      <c r="U93" s="11"/>
      <c r="V93" s="11"/>
    </row>
    <row r="94" ht="15.75" customHeight="1">
      <c r="A94" s="11"/>
      <c r="B94" s="23">
        <v>0.3763</v>
      </c>
      <c r="C94" s="11"/>
      <c r="D94" s="74">
        <f t="shared" si="1"/>
        <v>0</v>
      </c>
      <c r="E94" s="13"/>
      <c r="F94" s="11"/>
      <c r="G94" s="11"/>
      <c r="H94" s="11"/>
      <c r="I94" s="11"/>
      <c r="J94" s="11"/>
      <c r="K94" s="11"/>
      <c r="L94" s="11"/>
      <c r="M94" s="11"/>
      <c r="N94" s="11"/>
      <c r="O94" s="11"/>
      <c r="P94" s="11"/>
      <c r="Q94" s="11"/>
      <c r="R94" s="11"/>
      <c r="S94" s="11"/>
      <c r="T94" s="11"/>
      <c r="U94" s="11"/>
      <c r="V94" s="11"/>
    </row>
    <row r="95" ht="15.75" customHeight="1">
      <c r="A95" s="11"/>
      <c r="B95" s="23">
        <v>0.1113</v>
      </c>
      <c r="C95" s="11"/>
      <c r="D95" s="74">
        <f t="shared" si="1"/>
        <v>0</v>
      </c>
      <c r="E95" s="13"/>
      <c r="F95" s="11"/>
      <c r="G95" s="11"/>
      <c r="H95" s="11"/>
      <c r="I95" s="11"/>
      <c r="J95" s="11"/>
      <c r="K95" s="11"/>
      <c r="L95" s="11"/>
      <c r="M95" s="11"/>
      <c r="N95" s="11"/>
      <c r="O95" s="11"/>
      <c r="P95" s="11"/>
      <c r="Q95" s="11"/>
      <c r="R95" s="11"/>
      <c r="S95" s="11"/>
      <c r="T95" s="11"/>
      <c r="U95" s="11"/>
      <c r="V95" s="11"/>
    </row>
    <row r="96" ht="15.75" customHeight="1">
      <c r="A96" s="11"/>
      <c r="B96" s="23">
        <v>0.3568</v>
      </c>
      <c r="C96" s="11"/>
      <c r="D96" s="75">
        <f t="shared" si="1"/>
        <v>1</v>
      </c>
      <c r="E96" s="13">
        <v>1.0</v>
      </c>
      <c r="F96" s="11"/>
      <c r="G96" s="11"/>
      <c r="H96" s="11"/>
      <c r="I96" s="11"/>
      <c r="J96" s="11"/>
      <c r="K96" s="11"/>
      <c r="L96" s="11"/>
      <c r="M96" s="11"/>
      <c r="N96" s="11"/>
      <c r="O96" s="11"/>
      <c r="P96" s="11"/>
      <c r="Q96" s="11"/>
      <c r="R96" s="11"/>
      <c r="S96" s="11"/>
      <c r="T96" s="11"/>
      <c r="U96" s="11"/>
      <c r="V96" s="11"/>
    </row>
    <row r="97" ht="15.75" customHeight="1">
      <c r="A97" s="11"/>
      <c r="B97" s="23">
        <v>0.1727</v>
      </c>
      <c r="C97" s="11"/>
      <c r="D97" s="75">
        <f t="shared" si="1"/>
        <v>0</v>
      </c>
      <c r="E97" s="13">
        <v>1.0</v>
      </c>
      <c r="F97" s="11"/>
      <c r="G97" s="11"/>
      <c r="H97" s="11"/>
      <c r="I97" s="11"/>
      <c r="J97" s="11"/>
      <c r="K97" s="11"/>
      <c r="L97" s="11"/>
      <c r="M97" s="11"/>
      <c r="N97" s="11"/>
      <c r="O97" s="11"/>
      <c r="P97" s="11"/>
      <c r="Q97" s="11"/>
      <c r="R97" s="11"/>
      <c r="S97" s="11"/>
      <c r="T97" s="11"/>
      <c r="U97" s="11"/>
      <c r="V97" s="11"/>
    </row>
    <row r="98" ht="15.75" customHeight="1">
      <c r="A98" s="11"/>
      <c r="B98" s="23">
        <v>0.312</v>
      </c>
      <c r="C98" s="11"/>
      <c r="D98" s="75">
        <f t="shared" si="1"/>
        <v>1</v>
      </c>
      <c r="E98" s="13">
        <v>1.0</v>
      </c>
      <c r="F98" s="11"/>
      <c r="G98" s="11"/>
      <c r="H98" s="11"/>
      <c r="I98" s="11"/>
      <c r="J98" s="11"/>
      <c r="K98" s="11"/>
      <c r="L98" s="11"/>
      <c r="M98" s="11"/>
      <c r="N98" s="11"/>
      <c r="O98" s="11"/>
      <c r="P98" s="11"/>
      <c r="Q98" s="11"/>
      <c r="R98" s="11"/>
      <c r="S98" s="11"/>
      <c r="T98" s="11"/>
      <c r="U98" s="11"/>
      <c r="V98" s="11"/>
    </row>
    <row r="99" ht="15.75" customHeight="1">
      <c r="A99" s="11"/>
      <c r="B99" s="23">
        <v>0.0165</v>
      </c>
      <c r="C99" s="11"/>
      <c r="D99" s="74">
        <f t="shared" si="1"/>
        <v>0</v>
      </c>
      <c r="E99" s="13">
        <v>1.0</v>
      </c>
      <c r="F99" s="11"/>
      <c r="G99" s="11"/>
      <c r="H99" s="11"/>
      <c r="I99" s="11"/>
      <c r="J99" s="11"/>
      <c r="K99" s="11"/>
      <c r="L99" s="11"/>
      <c r="M99" s="11"/>
      <c r="N99" s="11"/>
      <c r="O99" s="11"/>
      <c r="P99" s="11"/>
      <c r="Q99" s="11"/>
      <c r="R99" s="11"/>
      <c r="S99" s="11"/>
      <c r="T99" s="11"/>
      <c r="U99" s="11"/>
      <c r="V99" s="11"/>
    </row>
    <row r="100" ht="15.75" customHeight="1">
      <c r="A100" s="11"/>
      <c r="B100" s="23">
        <v>0.7941</v>
      </c>
      <c r="C100" s="11"/>
      <c r="D100" s="75">
        <f t="shared" si="1"/>
        <v>1</v>
      </c>
      <c r="E100" s="13">
        <v>1.0</v>
      </c>
      <c r="F100" s="11"/>
      <c r="G100" s="11"/>
      <c r="H100" s="11"/>
      <c r="I100" s="11"/>
      <c r="J100" s="11"/>
      <c r="K100" s="11"/>
      <c r="L100" s="11"/>
      <c r="M100" s="11"/>
      <c r="N100" s="11"/>
      <c r="O100" s="11"/>
      <c r="P100" s="11"/>
      <c r="Q100" s="11"/>
      <c r="R100" s="11"/>
      <c r="S100" s="11"/>
      <c r="T100" s="11"/>
      <c r="U100" s="11"/>
      <c r="V100" s="11"/>
    </row>
    <row r="101" ht="15.75" customHeight="1">
      <c r="A101" s="11"/>
      <c r="B101" s="23">
        <v>0.22</v>
      </c>
      <c r="C101" s="11"/>
      <c r="D101" s="74">
        <f t="shared" si="1"/>
        <v>0</v>
      </c>
      <c r="E101" s="13">
        <v>1.0</v>
      </c>
      <c r="F101" s="11"/>
      <c r="G101" s="11"/>
      <c r="H101" s="11"/>
      <c r="I101" s="11"/>
      <c r="J101" s="11"/>
      <c r="K101" s="11"/>
      <c r="L101" s="11"/>
      <c r="M101" s="11"/>
      <c r="N101" s="11"/>
      <c r="O101" s="11"/>
      <c r="P101" s="11"/>
      <c r="Q101" s="11"/>
      <c r="R101" s="11"/>
      <c r="S101" s="11"/>
      <c r="T101" s="11"/>
      <c r="U101" s="11"/>
      <c r="V101" s="11"/>
    </row>
    <row r="102" ht="15.75" customHeight="1">
      <c r="A102" s="11"/>
      <c r="B102" s="23">
        <v>0.5886</v>
      </c>
      <c r="C102" s="11"/>
      <c r="D102" s="74">
        <f t="shared" si="1"/>
        <v>1</v>
      </c>
      <c r="E102" s="13">
        <v>1.0</v>
      </c>
      <c r="F102" s="11"/>
      <c r="G102" s="11"/>
      <c r="H102" s="11"/>
      <c r="I102" s="11"/>
      <c r="J102" s="11"/>
      <c r="K102" s="11"/>
      <c r="L102" s="11"/>
      <c r="M102" s="11"/>
      <c r="N102" s="11"/>
      <c r="O102" s="11"/>
      <c r="P102" s="11"/>
      <c r="Q102" s="11"/>
      <c r="R102" s="11"/>
      <c r="S102" s="11"/>
      <c r="T102" s="11"/>
      <c r="U102" s="11"/>
      <c r="V102" s="11"/>
    </row>
    <row r="103" ht="15.75" customHeight="1">
      <c r="E103" s="13">
        <f>SUM(E4:E102)</f>
        <v>62</v>
      </c>
    </row>
    <row r="104" ht="15.75" customHeight="1"/>
    <row r="105" ht="15.75" customHeight="1">
      <c r="E105" s="13"/>
    </row>
    <row r="106" ht="15.75" customHeight="1">
      <c r="E106" s="13"/>
    </row>
    <row r="107" ht="15.75" customHeight="1">
      <c r="E107" s="13"/>
    </row>
    <row r="108" ht="15.75" customHeight="1">
      <c r="E108" s="13"/>
    </row>
    <row r="109" ht="15.75" customHeight="1">
      <c r="E109" s="13"/>
    </row>
    <row r="110" ht="15.75" customHeight="1">
      <c r="E110" s="13"/>
    </row>
    <row r="111" ht="15.75" customHeight="1">
      <c r="E111" s="13"/>
    </row>
    <row r="112" ht="15.75" customHeight="1">
      <c r="E112" s="13"/>
    </row>
    <row r="113" ht="15.75" customHeight="1">
      <c r="E113" s="13"/>
    </row>
    <row r="114" ht="15.75" customHeight="1">
      <c r="E114" s="13"/>
    </row>
    <row r="115" ht="15.75" customHeight="1">
      <c r="E115" s="13"/>
    </row>
    <row r="116" ht="15.75" customHeight="1">
      <c r="E116" s="13"/>
    </row>
    <row r="117" ht="15.75" customHeight="1">
      <c r="E117" s="13"/>
    </row>
    <row r="118" ht="15.75" customHeight="1">
      <c r="E118" s="13"/>
    </row>
    <row r="119" ht="15.75" customHeight="1">
      <c r="E119" s="13"/>
    </row>
    <row r="120" ht="15.75" customHeight="1">
      <c r="E120" s="13"/>
    </row>
    <row r="121" ht="15.75" customHeight="1">
      <c r="E121" s="13"/>
    </row>
    <row r="122" ht="15.75" customHeight="1">
      <c r="E122" s="13"/>
    </row>
    <row r="123" ht="15.75" customHeight="1">
      <c r="E123" s="13"/>
    </row>
    <row r="124" ht="15.75" customHeight="1">
      <c r="E124" s="13"/>
    </row>
    <row r="125" ht="15.75" customHeight="1">
      <c r="E125" s="13"/>
    </row>
    <row r="126" ht="15.75" customHeight="1">
      <c r="E126" s="13"/>
    </row>
    <row r="127" ht="15.75" customHeight="1">
      <c r="E127" s="13"/>
    </row>
    <row r="128" ht="15.75" customHeight="1">
      <c r="E128" s="13"/>
    </row>
    <row r="129" ht="15.75" customHeight="1">
      <c r="E129" s="13"/>
    </row>
    <row r="130" ht="15.75" customHeight="1">
      <c r="E130" s="13"/>
    </row>
    <row r="131" ht="15.75" customHeight="1">
      <c r="E131" s="13"/>
    </row>
    <row r="132" ht="15.75" customHeight="1">
      <c r="E132" s="13"/>
    </row>
    <row r="133" ht="15.75" customHeight="1">
      <c r="E133" s="13"/>
    </row>
    <row r="134" ht="15.75" customHeight="1">
      <c r="E134" s="13"/>
    </row>
    <row r="135" ht="15.75" customHeight="1">
      <c r="E135" s="13"/>
    </row>
    <row r="136" ht="15.75" customHeight="1">
      <c r="E136" s="13"/>
    </row>
    <row r="137" ht="15.75" customHeight="1">
      <c r="E137" s="13"/>
    </row>
    <row r="138" ht="15.75" customHeight="1">
      <c r="E138" s="13"/>
    </row>
    <row r="139" ht="15.75" customHeight="1">
      <c r="E139" s="13"/>
    </row>
    <row r="140" ht="15.75" customHeight="1">
      <c r="E140" s="13"/>
    </row>
    <row r="141" ht="15.75" customHeight="1">
      <c r="E141" s="13"/>
    </row>
    <row r="142" ht="15.75" customHeight="1">
      <c r="E142" s="13"/>
    </row>
    <row r="143" ht="15.75" customHeight="1">
      <c r="E143" s="13"/>
    </row>
    <row r="144" ht="15.75" customHeight="1">
      <c r="E144" s="13"/>
    </row>
    <row r="145" ht="15.75" customHeight="1">
      <c r="E145" s="13"/>
    </row>
    <row r="146" ht="15.75" customHeight="1">
      <c r="E146" s="13"/>
    </row>
    <row r="147" ht="15.75" customHeight="1">
      <c r="E147" s="13"/>
    </row>
    <row r="148" ht="15.75" customHeight="1">
      <c r="E148" s="13"/>
    </row>
    <row r="149" ht="15.75" customHeight="1">
      <c r="E149" s="13"/>
    </row>
    <row r="150" ht="15.75" customHeight="1">
      <c r="E150" s="13"/>
    </row>
    <row r="151" ht="15.75" customHeight="1">
      <c r="E151" s="13"/>
    </row>
    <row r="152" ht="15.75" customHeight="1">
      <c r="E152" s="13"/>
    </row>
    <row r="153" ht="15.75" customHeight="1">
      <c r="E153" s="13"/>
    </row>
    <row r="154" ht="15.75" customHeight="1">
      <c r="E154" s="13"/>
    </row>
    <row r="155" ht="15.75" customHeight="1">
      <c r="E155" s="13"/>
    </row>
    <row r="156" ht="15.75" customHeight="1">
      <c r="E156" s="13"/>
    </row>
    <row r="157" ht="15.75" customHeight="1">
      <c r="E157" s="13"/>
    </row>
    <row r="158" ht="15.75" customHeight="1">
      <c r="E158" s="13"/>
    </row>
    <row r="159" ht="15.75" customHeight="1">
      <c r="E159" s="13"/>
    </row>
    <row r="160" ht="15.75" customHeight="1">
      <c r="E160" s="13"/>
    </row>
    <row r="161" ht="15.75" customHeight="1">
      <c r="E161" s="13"/>
    </row>
    <row r="162" ht="15.75" customHeight="1">
      <c r="E162" s="13"/>
    </row>
    <row r="163" ht="15.75" customHeight="1">
      <c r="E163" s="13"/>
    </row>
    <row r="164" ht="15.75" customHeight="1">
      <c r="E164" s="13"/>
    </row>
    <row r="165" ht="15.75" customHeight="1">
      <c r="E165" s="13"/>
    </row>
    <row r="166" ht="15.75" customHeight="1">
      <c r="E166" s="13"/>
    </row>
    <row r="167" ht="15.75" customHeight="1">
      <c r="E167" s="13"/>
    </row>
    <row r="168" ht="15.75" customHeight="1">
      <c r="E168" s="13"/>
    </row>
    <row r="169" ht="15.75" customHeight="1">
      <c r="E169" s="13"/>
    </row>
    <row r="170" ht="15.75" customHeight="1">
      <c r="E170" s="13"/>
    </row>
    <row r="171" ht="15.75" customHeight="1">
      <c r="E171" s="13"/>
    </row>
    <row r="172" ht="15.75" customHeight="1">
      <c r="E172" s="13"/>
    </row>
    <row r="173" ht="15.75" customHeight="1">
      <c r="E173" s="13"/>
    </row>
    <row r="174" ht="15.75" customHeight="1">
      <c r="E174" s="13"/>
    </row>
    <row r="175" ht="15.75" customHeight="1">
      <c r="E175" s="13"/>
    </row>
    <row r="176" ht="15.75" customHeight="1">
      <c r="E176" s="13"/>
    </row>
    <row r="177" ht="15.75" customHeight="1">
      <c r="E177" s="13"/>
    </row>
    <row r="178" ht="15.75" customHeight="1">
      <c r="E178" s="13"/>
    </row>
    <row r="179" ht="15.75" customHeight="1">
      <c r="E179" s="13"/>
    </row>
    <row r="180" ht="15.75" customHeight="1">
      <c r="E180" s="13"/>
    </row>
    <row r="181" ht="15.75" customHeight="1">
      <c r="E181" s="13"/>
    </row>
    <row r="182" ht="15.75" customHeight="1">
      <c r="E182" s="13"/>
    </row>
    <row r="183" ht="15.75" customHeight="1">
      <c r="E183" s="13"/>
    </row>
    <row r="184" ht="15.75" customHeight="1">
      <c r="E184" s="13"/>
    </row>
    <row r="185" ht="15.75" customHeight="1">
      <c r="E185" s="13"/>
    </row>
    <row r="186" ht="15.75" customHeight="1">
      <c r="E186" s="13"/>
    </row>
    <row r="187" ht="15.75" customHeight="1">
      <c r="E187" s="13"/>
    </row>
    <row r="188" ht="15.75" customHeight="1">
      <c r="E188" s="13"/>
    </row>
    <row r="189" ht="15.75" customHeight="1">
      <c r="E189" s="13"/>
    </row>
    <row r="190" ht="15.75" customHeight="1">
      <c r="E190" s="13"/>
    </row>
    <row r="191" ht="15.75" customHeight="1">
      <c r="E191" s="13"/>
    </row>
    <row r="192" ht="15.75" customHeight="1">
      <c r="E192" s="13"/>
    </row>
    <row r="193" ht="15.75" customHeight="1">
      <c r="E193" s="13"/>
    </row>
    <row r="194" ht="15.75" customHeight="1">
      <c r="E194" s="13"/>
    </row>
    <row r="195" ht="15.75" customHeight="1">
      <c r="E195" s="13"/>
    </row>
    <row r="196" ht="15.75" customHeight="1">
      <c r="E196" s="13"/>
    </row>
    <row r="197" ht="15.75" customHeight="1">
      <c r="E197" s="13"/>
    </row>
    <row r="198" ht="15.75" customHeight="1">
      <c r="E198" s="13"/>
    </row>
    <row r="199" ht="15.75" customHeight="1">
      <c r="E199" s="13"/>
    </row>
    <row r="200" ht="15.75" customHeight="1">
      <c r="E200" s="13"/>
    </row>
    <row r="201" ht="15.75" customHeight="1">
      <c r="E201" s="13"/>
    </row>
    <row r="202" ht="15.75" customHeight="1">
      <c r="E202" s="13"/>
    </row>
    <row r="203" ht="15.75" customHeight="1">
      <c r="E203" s="13"/>
    </row>
    <row r="204" ht="15.75" customHeight="1">
      <c r="E204" s="13"/>
    </row>
    <row r="205" ht="15.75" customHeight="1">
      <c r="E205" s="13"/>
    </row>
    <row r="206" ht="15.75" customHeight="1">
      <c r="E206" s="13"/>
    </row>
    <row r="207" ht="15.75" customHeight="1">
      <c r="E207" s="13"/>
    </row>
    <row r="208" ht="15.75" customHeight="1">
      <c r="E208" s="13"/>
    </row>
    <row r="209" ht="15.75" customHeight="1">
      <c r="E209" s="13"/>
    </row>
    <row r="210" ht="15.75" customHeight="1">
      <c r="E210" s="13"/>
    </row>
    <row r="211" ht="15.75" customHeight="1">
      <c r="E211" s="13"/>
    </row>
    <row r="212" ht="15.75" customHeight="1">
      <c r="E212" s="13"/>
    </row>
    <row r="213" ht="15.75" customHeight="1">
      <c r="E213" s="13"/>
    </row>
    <row r="214" ht="15.75" customHeight="1">
      <c r="E214" s="13"/>
    </row>
    <row r="215" ht="15.75" customHeight="1">
      <c r="E215" s="13"/>
    </row>
    <row r="216" ht="15.75" customHeight="1">
      <c r="E216" s="13"/>
    </row>
    <row r="217" ht="15.75" customHeight="1">
      <c r="E217" s="13"/>
    </row>
    <row r="218" ht="15.75" customHeight="1">
      <c r="E218" s="13"/>
    </row>
    <row r="219" ht="15.75" customHeight="1">
      <c r="E219" s="13"/>
    </row>
    <row r="220" ht="15.75" customHeight="1">
      <c r="E220" s="13"/>
    </row>
    <row r="221" ht="15.75" customHeight="1">
      <c r="E221" s="13"/>
    </row>
    <row r="222" ht="15.75" customHeight="1">
      <c r="E222" s="13"/>
    </row>
    <row r="223" ht="15.75" customHeight="1">
      <c r="E223" s="13"/>
    </row>
    <row r="224" ht="15.75" customHeight="1">
      <c r="E224" s="13"/>
    </row>
    <row r="225" ht="15.75" customHeight="1">
      <c r="E225" s="13"/>
    </row>
    <row r="226" ht="15.75" customHeight="1">
      <c r="E226" s="13"/>
    </row>
    <row r="227" ht="15.75" customHeight="1">
      <c r="E227" s="13"/>
    </row>
    <row r="228" ht="15.75" customHeight="1">
      <c r="E228" s="13"/>
    </row>
    <row r="229" ht="15.75" customHeight="1">
      <c r="E229" s="13"/>
    </row>
    <row r="230" ht="15.75" customHeight="1">
      <c r="E230" s="13"/>
    </row>
    <row r="231" ht="15.75" customHeight="1">
      <c r="E231" s="13"/>
    </row>
    <row r="232" ht="15.75" customHeight="1">
      <c r="E232" s="13"/>
    </row>
    <row r="233" ht="15.75" customHeight="1">
      <c r="E233" s="13"/>
    </row>
    <row r="234" ht="15.75" customHeight="1">
      <c r="E234" s="13"/>
    </row>
    <row r="235" ht="15.75" customHeight="1">
      <c r="E235" s="13"/>
    </row>
    <row r="236" ht="15.75" customHeight="1">
      <c r="E236" s="13"/>
    </row>
    <row r="237" ht="15.75" customHeight="1">
      <c r="E237" s="13"/>
    </row>
    <row r="238" ht="15.75" customHeight="1">
      <c r="E238" s="13"/>
    </row>
    <row r="239" ht="15.75" customHeight="1">
      <c r="E239" s="13"/>
    </row>
    <row r="240" ht="15.75" customHeight="1">
      <c r="E240" s="13"/>
    </row>
    <row r="241" ht="15.75" customHeight="1">
      <c r="E241" s="13"/>
    </row>
    <row r="242" ht="15.75" customHeight="1">
      <c r="E242" s="13"/>
    </row>
    <row r="243" ht="15.75" customHeight="1">
      <c r="E243" s="13"/>
    </row>
    <row r="244" ht="15.75" customHeight="1">
      <c r="E244" s="13"/>
    </row>
    <row r="245" ht="15.75" customHeight="1">
      <c r="E245" s="13"/>
    </row>
    <row r="246" ht="15.75" customHeight="1">
      <c r="E246" s="13"/>
    </row>
    <row r="247" ht="15.75" customHeight="1">
      <c r="E247" s="13"/>
    </row>
    <row r="248" ht="15.75" customHeight="1">
      <c r="E248" s="13"/>
    </row>
    <row r="249" ht="15.75" customHeight="1">
      <c r="E249" s="13"/>
    </row>
    <row r="250" ht="15.75" customHeight="1">
      <c r="E250" s="13"/>
    </row>
    <row r="251" ht="15.75" customHeight="1">
      <c r="E251" s="13"/>
    </row>
    <row r="252" ht="15.75" customHeight="1">
      <c r="E252" s="13"/>
    </row>
    <row r="253" ht="15.75" customHeight="1">
      <c r="E253" s="13"/>
    </row>
    <row r="254" ht="15.75" customHeight="1">
      <c r="E254" s="13"/>
    </row>
    <row r="255" ht="15.75" customHeight="1">
      <c r="E255" s="13"/>
    </row>
    <row r="256" ht="15.75" customHeight="1">
      <c r="E256" s="13"/>
    </row>
    <row r="257" ht="15.75" customHeight="1">
      <c r="E257" s="13"/>
    </row>
    <row r="258" ht="15.75" customHeight="1">
      <c r="E258" s="13"/>
    </row>
    <row r="259" ht="15.75" customHeight="1">
      <c r="E259" s="13"/>
    </row>
    <row r="260" ht="15.75" customHeight="1">
      <c r="E260" s="13"/>
    </row>
    <row r="261" ht="15.75" customHeight="1">
      <c r="E261" s="13"/>
    </row>
    <row r="262" ht="15.75" customHeight="1">
      <c r="E262" s="13"/>
    </row>
    <row r="263" ht="15.75" customHeight="1">
      <c r="E263" s="13"/>
    </row>
    <row r="264" ht="15.75" customHeight="1">
      <c r="E264" s="13"/>
    </row>
    <row r="265" ht="15.75" customHeight="1">
      <c r="E265" s="13"/>
    </row>
    <row r="266" ht="15.75" customHeight="1">
      <c r="E266" s="13"/>
    </row>
    <row r="267" ht="15.75" customHeight="1">
      <c r="E267" s="13"/>
    </row>
    <row r="268" ht="15.75" customHeight="1">
      <c r="E268" s="13"/>
    </row>
    <row r="269" ht="15.75" customHeight="1">
      <c r="E269" s="13"/>
    </row>
    <row r="270" ht="15.75" customHeight="1">
      <c r="E270" s="13"/>
    </row>
    <row r="271" ht="15.75" customHeight="1">
      <c r="E271" s="13"/>
    </row>
    <row r="272" ht="15.75" customHeight="1">
      <c r="E272" s="13"/>
    </row>
    <row r="273" ht="15.75" customHeight="1">
      <c r="E273" s="13"/>
    </row>
    <row r="274" ht="15.75" customHeight="1">
      <c r="E274" s="13"/>
    </row>
    <row r="275" ht="15.75" customHeight="1">
      <c r="E275" s="13"/>
    </row>
    <row r="276" ht="15.75" customHeight="1">
      <c r="E276" s="13"/>
    </row>
    <row r="277" ht="15.75" customHeight="1">
      <c r="E277" s="13"/>
    </row>
    <row r="278" ht="15.75" customHeight="1">
      <c r="E278" s="13"/>
    </row>
    <row r="279" ht="15.75" customHeight="1">
      <c r="E279" s="13"/>
    </row>
    <row r="280" ht="15.75" customHeight="1">
      <c r="E280" s="13"/>
    </row>
    <row r="281" ht="15.75" customHeight="1">
      <c r="E281" s="13"/>
    </row>
    <row r="282" ht="15.75" customHeight="1">
      <c r="E282" s="13"/>
    </row>
    <row r="283" ht="15.75" customHeight="1">
      <c r="E283" s="13"/>
    </row>
    <row r="284" ht="15.75" customHeight="1">
      <c r="E284" s="13"/>
    </row>
    <row r="285" ht="15.75" customHeight="1">
      <c r="E285" s="13"/>
    </row>
    <row r="286" ht="15.75" customHeight="1">
      <c r="E286" s="13"/>
    </row>
    <row r="287" ht="15.75" customHeight="1">
      <c r="E287" s="13"/>
    </row>
    <row r="288" ht="15.75" customHeight="1">
      <c r="E288" s="13"/>
    </row>
    <row r="289" ht="15.75" customHeight="1">
      <c r="E289" s="13"/>
    </row>
    <row r="290" ht="15.75" customHeight="1">
      <c r="E290" s="13"/>
    </row>
    <row r="291" ht="15.75" customHeight="1">
      <c r="E291" s="13"/>
    </row>
    <row r="292" ht="15.75" customHeight="1">
      <c r="E292" s="13"/>
    </row>
    <row r="293" ht="15.75" customHeight="1">
      <c r="E293" s="13"/>
    </row>
    <row r="294" ht="15.75" customHeight="1">
      <c r="E294" s="13"/>
    </row>
    <row r="295" ht="15.75" customHeight="1">
      <c r="E295" s="13"/>
    </row>
    <row r="296" ht="15.75" customHeight="1">
      <c r="E296" s="13"/>
    </row>
    <row r="297" ht="15.75" customHeight="1">
      <c r="E297" s="13"/>
    </row>
    <row r="298" ht="15.75" customHeight="1">
      <c r="E298" s="13"/>
    </row>
    <row r="299" ht="15.75" customHeight="1">
      <c r="E299" s="13"/>
    </row>
    <row r="300" ht="15.75" customHeight="1">
      <c r="E300" s="13"/>
    </row>
    <row r="301" ht="15.75" customHeight="1">
      <c r="E301" s="13"/>
    </row>
    <row r="302" ht="15.75" customHeight="1">
      <c r="E302" s="13"/>
    </row>
    <row r="303" ht="15.75" customHeight="1">
      <c r="E303" s="13"/>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V1"/>
    <mergeCell ref="M10:Q11"/>
    <mergeCell ref="L13:Q14"/>
    <mergeCell ref="G16:R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